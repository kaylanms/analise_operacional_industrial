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ttos\Desktop\analise-operacional-industrial\excel\"/>
    </mc:Choice>
  </mc:AlternateContent>
  <xr:revisionPtr revIDLastSave="0" documentId="13_ncr:1_{72FD7968-56CC-4D8E-99DE-D4C7E702A952}" xr6:coauthVersionLast="47" xr6:coauthVersionMax="47" xr10:uidLastSave="{00000000-0000-0000-0000-000000000000}"/>
  <bookViews>
    <workbookView xWindow="-120" yWindow="-120" windowWidth="29040" windowHeight="15720" xr2:uid="{A5CACA67-48F1-42F9-A243-124C533C13B7}"/>
  </bookViews>
  <sheets>
    <sheet name="Dashboard" sheetId="9" r:id="rId1"/>
    <sheet name="Analises" sheetId="5" r:id="rId2"/>
    <sheet name="Insights" sheetId="10" r:id="rId3"/>
  </sheets>
  <definedNames>
    <definedName name="_xlnm._FilterDatabase" localSheetId="2" hidden="1">Insights!$B$1:$B$2</definedName>
    <definedName name="ab">Analises!$C$16</definedName>
    <definedName name="asdfapsokfd">Analises!$C$16</definedName>
    <definedName name="cost_total">Analises!$C$4</definedName>
    <definedName name="cuost">Analises!$A$4</definedName>
    <definedName name="custo_por_unidade">Analises!$D$4</definedName>
    <definedName name="custo_total">Analises!$H$16</definedName>
    <definedName name="ef_operacional">Analises!$E$3</definedName>
    <definedName name="op_ef">Analises!$E$4</definedName>
    <definedName name="producao_planejada">Analises!$B$4</definedName>
    <definedName name="producao_total">Analises!$C$16</definedName>
    <definedName name="Slicer_Linha">#N/A</definedName>
    <definedName name="Slicer_Month_Abb">#N/A</definedName>
    <definedName name="Slicer_Tipo_Custo">#N/A</definedName>
    <definedName name="total_cost">Analises!$C$3</definedName>
    <definedName name="total_producao">Analises!$A$4</definedName>
  </definedNames>
  <calcPr calcId="191029"/>
  <pivotCaches>
    <pivotCache cacheId="4" r:id="rId4"/>
    <pivotCache cacheId="24" r:id="rId5"/>
    <pivotCache cacheId="27" r:id="rId6"/>
    <pivotCache cacheId="30" r:id="rId7"/>
    <pivotCache cacheId="33" r:id="rId8"/>
    <pivotCache cacheId="36"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s_12_meses_a11b72ea-0267-4ab9-b306-8f6f9b0bad55" name="custos_12_meses" connection="Query - custos_12_meses"/>
          <x15:modelTable id="paradas_12_meses_1614f2be-e35c-4c56-9648-ce30747c005b" name="paradas_12_meses" connection="Query - paradas_12_meses"/>
          <x15:modelTable id="producao_12_meses_9d10d312-472d-4d38-8259-d86358d7b3cf" name="producao_12_meses" connection="Query - producao_12_meses"/>
          <x15:modelTable id="Calendar" name="Calendar" connection="Connection"/>
        </x15:modelTables>
        <x15:modelRelationships>
          <x15:modelRelationship fromTable="custos_12_meses" fromColumn="Data" toTable="Calendar" toColumn="Date"/>
          <x15:modelRelationship fromTable="paradas_12_meses" fromColumn="Data" toTable="Calendar" toColumn="Date"/>
          <x15:modelRelationship fromTable="producao_12_meses" fromColumn="Data"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6A695C-FAEB-496F-B74E-9978D98B8E24}" name="Connection" type="104" refreshedVersion="0" background="1">
    <extLst>
      <ext xmlns:x15="http://schemas.microsoft.com/office/spreadsheetml/2010/11/main" uri="{DE250136-89BD-433C-8126-D09CA5730AF9}">
        <x15:connection id="Calendar"/>
      </ext>
    </extLst>
  </connection>
  <connection id="2" xr16:uid="{3D77F109-A868-4C35-957B-F034A46AF61A}" name="Query - custos_12_meses" description="Connection to the 'custos_12_meses' query in the workbook." type="100" refreshedVersion="8" minRefreshableVersion="5">
    <extLst>
      <ext xmlns:x15="http://schemas.microsoft.com/office/spreadsheetml/2010/11/main" uri="{DE250136-89BD-433C-8126-D09CA5730AF9}">
        <x15:connection id="a3b2a509-609c-44dc-932d-9ca44b1874d8"/>
      </ext>
    </extLst>
  </connection>
  <connection id="3" xr16:uid="{93422E71-ABB1-4584-9083-565F49E3CB95}" name="Query - paradas_12_meses" description="Connection to the 'paradas_12_meses' query in the workbook." type="100" refreshedVersion="8" minRefreshableVersion="5">
    <extLst>
      <ext xmlns:x15="http://schemas.microsoft.com/office/spreadsheetml/2010/11/main" uri="{DE250136-89BD-433C-8126-D09CA5730AF9}">
        <x15:connection id="e0b1c133-7174-49f6-b936-59b57bb994b7"/>
      </ext>
    </extLst>
  </connection>
  <connection id="4" xr16:uid="{FA0388C0-A32E-4129-A2FD-C02AEFEDEDD1}" name="Query - producao_12_meses" description="Connection to the 'producao_12_meses' query in the workbook." type="100" refreshedVersion="8" minRefreshableVersion="5">
    <extLst>
      <ext xmlns:x15="http://schemas.microsoft.com/office/spreadsheetml/2010/11/main" uri="{DE250136-89BD-433C-8126-D09CA5730AF9}">
        <x15:connection id="e7b4e3b0-7fb0-46d9-aa57-851f7c96ee06"/>
      </ext>
    </extLst>
  </connection>
  <connection id="5" xr16:uid="{CD04CF25-DD5D-4A3B-880E-72BF4B37F3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<sst xmlns="http://schemas.openxmlformats.org/spreadsheetml/2006/main" count="100" uniqueCount="67">
  <si>
    <t>Energia</t>
  </si>
  <si>
    <t>Logistica</t>
  </si>
  <si>
    <t>Mao_de_Obra</t>
  </si>
  <si>
    <t>Terceiros</t>
  </si>
  <si>
    <t>Manutencao</t>
  </si>
  <si>
    <t>Falha Mecanica</t>
  </si>
  <si>
    <t>Manutencao Preventiva</t>
  </si>
  <si>
    <t>Clima Offshore</t>
  </si>
  <si>
    <t>Falta de Insumo</t>
  </si>
  <si>
    <t>Manutencao Corretiva</t>
  </si>
  <si>
    <t>Falha Eletrica</t>
  </si>
  <si>
    <t>Jan</t>
  </si>
  <si>
    <t>Feb</t>
  </si>
  <si>
    <t>Mar</t>
  </si>
  <si>
    <t>Apr</t>
  </si>
  <si>
    <t>May</t>
  </si>
  <si>
    <t>Jun</t>
  </si>
  <si>
    <t>Jul</t>
  </si>
  <si>
    <t>Aug</t>
  </si>
  <si>
    <t>Sep</t>
  </si>
  <si>
    <t>Oct</t>
  </si>
  <si>
    <t>Nov</t>
  </si>
  <si>
    <t>Dec</t>
  </si>
  <si>
    <t>Produção Planejada</t>
  </si>
  <si>
    <t>Total</t>
  </si>
  <si>
    <t>Produção Real</t>
  </si>
  <si>
    <t>Mês</t>
  </si>
  <si>
    <t>Custo</t>
  </si>
  <si>
    <t>Tipo de Parada</t>
  </si>
  <si>
    <t>Custo Por Unidade</t>
  </si>
  <si>
    <t>Tipo de Custo</t>
  </si>
  <si>
    <t>Produção Total</t>
  </si>
  <si>
    <t>Custo Total</t>
  </si>
  <si>
    <t>Produção Planejada X Produção Real</t>
  </si>
  <si>
    <t>KPI'S</t>
  </si>
  <si>
    <t>Custo Total Mensal</t>
  </si>
  <si>
    <t>Eficiência</t>
  </si>
  <si>
    <t>Composição de Custos</t>
  </si>
  <si>
    <t>Duração (Horas)</t>
  </si>
  <si>
    <t>Paradas Operacionais</t>
  </si>
  <si>
    <t>Insight</t>
  </si>
  <si>
    <t>Evidência</t>
  </si>
  <si>
    <t>Impacto no Negócio</t>
  </si>
  <si>
    <t>Recomendação</t>
  </si>
  <si>
    <t>ID</t>
  </si>
  <si>
    <r>
      <t xml:space="preserve">Paradas de </t>
    </r>
    <r>
      <rPr>
        <b/>
        <i/>
        <sz val="11"/>
        <color theme="1"/>
        <rFont val="Calibri"/>
        <family val="2"/>
      </rPr>
      <t>Manutenção Preventiva</t>
    </r>
    <r>
      <rPr>
        <i/>
        <sz val="11"/>
        <color theme="1"/>
        <rFont val="Calibri"/>
        <family val="2"/>
      </rPr>
      <t xml:space="preserve"> representam a
maior parte do tempo total de parada.</t>
    </r>
  </si>
  <si>
    <r>
      <t xml:space="preserve">Apesar de reduzir falhas inesperadas, o alto volume de manutenção preventiva impacta diretamente a </t>
    </r>
    <r>
      <rPr>
        <b/>
        <sz val="11"/>
        <color theme="1"/>
        <rFont val="Calibri"/>
        <family val="2"/>
      </rPr>
      <t>disponibilidade produtiva</t>
    </r>
    <r>
      <rPr>
        <sz val="11"/>
        <color theme="1"/>
        <rFont val="Calibri"/>
        <family val="2"/>
      </rPr>
      <t xml:space="preserve">, podendo limitar a </t>
    </r>
    <r>
      <rPr>
        <b/>
        <sz val="11"/>
        <color theme="1"/>
        <rFont val="Calibri"/>
        <family val="2"/>
      </rPr>
      <t>capacidade operacional</t>
    </r>
    <r>
      <rPr>
        <sz val="11"/>
        <color theme="1"/>
        <rFont val="Calibri"/>
        <family val="2"/>
      </rPr>
      <t>.</t>
    </r>
  </si>
  <si>
    <r>
      <t xml:space="preserve">Avaliar a otimização do plano de manutenção preventiva, buscando:
</t>
    </r>
    <r>
      <rPr>
        <i/>
        <sz val="11"/>
        <color theme="1"/>
        <rFont val="Calibri"/>
        <family val="2"/>
      </rPr>
      <t>Melhor balanceamento entre frequência e duração das intervenções.</t>
    </r>
    <r>
      <rPr>
        <sz val="11"/>
        <color theme="1"/>
        <rFont val="Calibri"/>
        <family val="2"/>
      </rPr>
      <t xml:space="preserve">
</t>
    </r>
    <r>
      <rPr>
        <i/>
        <sz val="11"/>
        <color theme="1"/>
        <rFont val="Calibri"/>
        <family val="2"/>
      </rPr>
      <t>Execução em períodos de menor impacto produtivo.
Adoção gradual de manutenção preditiva baseada em dados.</t>
    </r>
  </si>
  <si>
    <r>
      <t xml:space="preserve">O volume de produção planejada mantém-se relativamente constante, enquanto a produção real apresenta </t>
    </r>
    <r>
      <rPr>
        <b/>
        <i/>
        <sz val="11"/>
        <color theme="1"/>
        <rFont val="Calibri"/>
        <family val="2"/>
      </rPr>
      <t>variações relevantes</t>
    </r>
    <r>
      <rPr>
        <i/>
        <sz val="11"/>
        <color theme="1"/>
        <rFont val="Calibri"/>
        <family val="2"/>
      </rPr>
      <t>.</t>
    </r>
  </si>
  <si>
    <t>Apesar da estabilidade do planejamento, há flutuações recorrentes na produção efetiva ao longo do período analisado.</t>
  </si>
  <si>
    <t>Planejamento excessivamente otimista pode gerar metas inalcançáveis e decisões operacionais ineficientes.</t>
  </si>
  <si>
    <t>Ajustar o plano de produção considerando histórico de paradas, sazonalidade e limitações operacionais.</t>
  </si>
  <si>
    <t>Eficiência Operacional</t>
  </si>
  <si>
    <r>
      <t xml:space="preserve">A eficiência financeira apresenta variações relevantes ao longo dos meses analisados, medida pelo </t>
    </r>
    <r>
      <rPr>
        <b/>
        <i/>
        <sz val="12"/>
        <color theme="1"/>
        <rFont val="Calibri"/>
        <family val="2"/>
      </rPr>
      <t>custo por unidade produzida</t>
    </r>
    <r>
      <rPr>
        <i/>
        <sz val="12"/>
        <color theme="1"/>
        <rFont val="Calibri"/>
        <family val="2"/>
      </rPr>
      <t>.</t>
    </r>
  </si>
  <si>
    <r>
      <t xml:space="preserve">Fevereiro apresentou a </t>
    </r>
    <r>
      <rPr>
        <b/>
        <sz val="11"/>
        <color theme="1"/>
        <rFont val="Calibri"/>
        <family val="2"/>
      </rPr>
      <t>maior eficiência financeira</t>
    </r>
    <r>
      <rPr>
        <sz val="11"/>
        <color theme="1"/>
        <rFont val="Calibri"/>
        <family val="2"/>
      </rPr>
      <t xml:space="preserve"> </t>
    </r>
    <r>
      <rPr>
        <i/>
        <sz val="11"/>
        <color theme="1"/>
        <rFont val="Calibri"/>
        <family val="2"/>
      </rPr>
      <t>(menor custo por unidade)</t>
    </r>
    <r>
      <rPr>
        <sz val="11"/>
        <color theme="1"/>
        <rFont val="Calibri"/>
        <family val="2"/>
      </rPr>
      <t xml:space="preserve">, porém também registrou o </t>
    </r>
    <r>
      <rPr>
        <b/>
        <sz val="11"/>
        <color theme="1"/>
        <rFont val="Calibri"/>
        <family val="2"/>
      </rPr>
      <t>menor volume de produção do período</t>
    </r>
    <r>
      <rPr>
        <sz val="11"/>
        <color theme="1"/>
        <rFont val="Calibri"/>
        <family val="2"/>
      </rPr>
      <t xml:space="preserve">, indicando baixa </t>
    </r>
    <r>
      <rPr>
        <i/>
        <sz val="11"/>
        <color theme="1"/>
        <rFont val="Calibri"/>
        <family val="2"/>
      </rPr>
      <t>eficiência operacional</t>
    </r>
    <r>
      <rPr>
        <sz val="11"/>
        <color theme="1"/>
        <rFont val="Calibri"/>
        <family val="2"/>
      </rPr>
      <t xml:space="preserve"> e subutilização da capacidade produtiva.</t>
    </r>
  </si>
  <si>
    <r>
      <t xml:space="preserve">Apesar do bom desempenho financeiro por unidade produzida, a baixa utilização da capacidade operacional pode resultar em </t>
    </r>
    <r>
      <rPr>
        <b/>
        <sz val="11"/>
        <color theme="1"/>
        <rFont val="Calibri"/>
        <family val="2"/>
      </rPr>
      <t>perda de escala produtiva, menor diluição de custos fixos e impacto negativo na receita total</t>
    </r>
    <r>
      <rPr>
        <sz val="11"/>
        <color theme="1"/>
        <rFont val="Calibri"/>
        <family val="2"/>
      </rPr>
      <t>.</t>
    </r>
  </si>
  <si>
    <t>Avaliar oportunidades para aumentar o volume produtivo em meses com alta eficiência financeira, buscando melhor aproveitamento da capacidade instalada sem comprometer o custo por unidade.</t>
  </si>
  <si>
    <r>
      <t xml:space="preserve">O </t>
    </r>
    <r>
      <rPr>
        <b/>
        <i/>
        <sz val="12"/>
        <color theme="1"/>
        <rFont val="Calibri"/>
        <family val="2"/>
      </rPr>
      <t>custo total mensal</t>
    </r>
    <r>
      <rPr>
        <i/>
        <sz val="12"/>
        <color theme="1"/>
        <rFont val="Calibri"/>
        <family val="2"/>
      </rPr>
      <t xml:space="preserve"> apresenta picos relevantes em determinados períodos do ano.</t>
    </r>
  </si>
  <si>
    <r>
      <t xml:space="preserve">Os maiores custos foram observados em </t>
    </r>
    <r>
      <rPr>
        <b/>
        <sz val="11"/>
        <color theme="1"/>
        <rFont val="Calibri"/>
        <family val="2"/>
      </rPr>
      <t xml:space="preserve">maio </t>
    </r>
    <r>
      <rPr>
        <b/>
        <i/>
        <sz val="11"/>
        <color theme="1"/>
        <rFont val="Calibri"/>
        <family val="2"/>
      </rPr>
      <t>(R$ 861.321)</t>
    </r>
    <r>
      <rPr>
        <sz val="11"/>
        <color theme="1"/>
        <rFont val="Calibri"/>
        <family val="2"/>
      </rPr>
      <t xml:space="preserve"> e </t>
    </r>
    <r>
      <rPr>
        <b/>
        <sz val="11"/>
        <color theme="1"/>
        <rFont val="Calibri"/>
        <family val="2"/>
      </rPr>
      <t xml:space="preserve">julho </t>
    </r>
    <r>
      <rPr>
        <b/>
        <i/>
        <sz val="11"/>
        <color theme="1"/>
        <rFont val="Calibri"/>
        <family val="2"/>
      </rPr>
      <t>(R$ 845.687)</t>
    </r>
    <r>
      <rPr>
        <sz val="11"/>
        <color theme="1"/>
        <rFont val="Calibri"/>
        <family val="2"/>
      </rPr>
      <t>.</t>
    </r>
  </si>
  <si>
    <r>
      <t xml:space="preserve">Manutenção preventiva responde por aproximadamente </t>
    </r>
    <r>
      <rPr>
        <b/>
        <i/>
        <sz val="11"/>
        <color theme="1"/>
        <rFont val="Calibri"/>
        <family val="2"/>
      </rPr>
      <t>18.7%</t>
    </r>
    <r>
      <rPr>
        <sz val="11"/>
        <color theme="1"/>
        <rFont val="Calibri"/>
        <family val="2"/>
      </rPr>
      <t xml:space="preserve"> das horas paradas no período analisado.</t>
    </r>
  </si>
  <si>
    <r>
      <t xml:space="preserve">Aumento pontual de custos impacta diretamente a </t>
    </r>
    <r>
      <rPr>
        <b/>
        <sz val="11"/>
        <color theme="1"/>
        <rFont val="Calibri"/>
        <family val="2"/>
      </rPr>
      <t>rentabilidade operacional</t>
    </r>
    <r>
      <rPr>
        <sz val="11"/>
        <color theme="1"/>
        <rFont val="Calibri"/>
        <family val="2"/>
      </rPr>
      <t>.</t>
    </r>
  </si>
  <si>
    <t>Realizar análise detalhada dos componentes de custo nesses meses para identificar fatores excepcionais, como aumento de manutenção, mão de obra ou logística.</t>
  </si>
  <si>
    <r>
      <t xml:space="preserve">Os custos relacionados a </t>
    </r>
    <r>
      <rPr>
        <b/>
        <i/>
        <sz val="12"/>
        <color theme="1"/>
        <rFont val="Calibri"/>
        <family val="2"/>
      </rPr>
      <t>terceiros</t>
    </r>
    <r>
      <rPr>
        <i/>
        <sz val="12"/>
        <color theme="1"/>
        <rFont val="Calibri"/>
        <family val="2"/>
      </rPr>
      <t xml:space="preserve"> e </t>
    </r>
    <r>
      <rPr>
        <b/>
        <i/>
        <sz val="12"/>
        <color theme="1"/>
        <rFont val="Calibri"/>
        <family val="2"/>
      </rPr>
      <t>manutenção</t>
    </r>
    <r>
      <rPr>
        <i/>
        <sz val="12"/>
        <color theme="1"/>
        <rFont val="Calibri"/>
        <family val="2"/>
      </rPr>
      <t xml:space="preserve"> representam a maior parcela do custo total da operação.</t>
    </r>
  </si>
  <si>
    <r>
      <t xml:space="preserve">Custos com </t>
    </r>
    <r>
      <rPr>
        <b/>
        <sz val="11"/>
        <color theme="1"/>
        <rFont val="Calibri"/>
        <family val="2"/>
      </rPr>
      <t>terceiros</t>
    </r>
    <r>
      <rPr>
        <sz val="11"/>
        <color theme="1"/>
        <rFont val="Calibri"/>
        <family val="2"/>
      </rPr>
      <t xml:space="preserve"> correspondem a </t>
    </r>
    <r>
      <rPr>
        <b/>
        <i/>
        <sz val="11"/>
        <color theme="1"/>
        <rFont val="Calibri"/>
        <family val="2"/>
      </rPr>
      <t>20,87%</t>
    </r>
    <r>
      <rPr>
        <sz val="11"/>
        <color theme="1"/>
        <rFont val="Calibri"/>
        <family val="2"/>
      </rPr>
      <t xml:space="preserve"> do custo total. Custos com </t>
    </r>
    <r>
      <rPr>
        <b/>
        <sz val="11"/>
        <color theme="1"/>
        <rFont val="Calibri"/>
        <family val="2"/>
      </rPr>
      <t>manutenção</t>
    </r>
    <r>
      <rPr>
        <sz val="11"/>
        <color theme="1"/>
        <rFont val="Calibri"/>
        <family val="2"/>
      </rPr>
      <t xml:space="preserve"> representam </t>
    </r>
    <r>
      <rPr>
        <b/>
        <i/>
        <sz val="11"/>
        <color theme="1"/>
        <rFont val="Calibri"/>
        <family val="2"/>
      </rPr>
      <t>20,77%</t>
    </r>
    <r>
      <rPr>
        <sz val="11"/>
        <color theme="1"/>
        <rFont val="Calibri"/>
        <family val="2"/>
      </rPr>
      <t xml:space="preserve"> do custo total, sendo os </t>
    </r>
    <r>
      <rPr>
        <b/>
        <sz val="11"/>
        <color theme="1"/>
        <rFont val="Calibri"/>
        <family val="2"/>
      </rPr>
      <t>dois maiores</t>
    </r>
    <r>
      <rPr>
        <sz val="11"/>
        <color theme="1"/>
        <rFont val="Calibri"/>
        <family val="2"/>
      </rPr>
      <t xml:space="preserve"> componentes no período analisado.</t>
    </r>
  </si>
  <si>
    <r>
      <t xml:space="preserve">Esses dois grupos de custo, juntos, representam </t>
    </r>
    <r>
      <rPr>
        <b/>
        <sz val="11"/>
        <color theme="1"/>
        <rFont val="Calibri"/>
        <family val="2"/>
      </rPr>
      <t>mais de 40% do custo total</t>
    </r>
    <r>
      <rPr>
        <sz val="11"/>
        <color theme="1"/>
        <rFont val="Calibri"/>
        <family val="2"/>
      </rPr>
      <t>, exercendo forte influência sobre a estrutura de custos e a rentabilidade operacional.</t>
    </r>
  </si>
  <si>
    <t>Avaliar oportunidades de otimização nos contratos de terceiros e na estratégia de manutenção, buscando maior eficiência operacional, redução de custos recorrentes e melhor planejamento das intervenções.</t>
  </si>
  <si>
    <t>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</si>
</sst>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_(* #,##0_);_(* \(#,##0\);_(* &quot;-&quot;??_);_(@_)"/>
    <numFmt numFmtId="165" formatCode="_-[$R$-416]\ * #,##0.00_-;\-[$R$-416]\ * #,##0.00_-;_-[$R$-416]\ * &quot;-&quot;??_-;_-@_-"/>
    <numFmt numFmtId="166" formatCode="_-[$R$-416]\ * #,##0_-;\-[$R$-416]\ * #,##0_-;_-[$R$-416]\ * &quot;-&quot;??_-;_-@_-"/>
  </numFmts>
  <fonts count="11" x14ac:knownFonts="1">
    <font>
      <sz val="11"/>
      <color theme="1"/>
      <name val="Calibri"/>
      <family val="2"/>
    </font>
    <font>
      <b/>
      <sz val="11"/>
      <color theme="1"/>
      <name val="Calibri"/>
      <family val="2"/>
    </font>
    <font>
      <b/>
      <sz val="22"/>
      <color theme="1"/>
      <name val="Calibri"/>
      <family val="2"/>
    </font>
    <font>
      <b/>
      <sz val="16"/>
      <color theme="1"/>
      <name val="Calibri"/>
      <family val="2"/>
    </font>
    <font>
      <i/>
      <sz val="11"/>
      <color theme="1"/>
      <name val="Calibri"/>
      <family val="2"/>
    </font>
    <font>
      <b/>
      <i/>
      <sz val="11"/>
      <color theme="1"/>
      <name val="Calibri"/>
      <family val="2"/>
    </font>
    <font>
      <sz val="22"/>
      <color theme="1"/>
      <name val="Calibri"/>
      <family val="2"/>
    </font>
    <font>
      <sz val="28"/>
      <color theme="1"/>
      <name val="Calibri"/>
      <family val="2"/>
    </font>
    <font>
      <i/>
      <sz val="12"/>
      <color theme="1"/>
      <name val="Calibri"/>
      <family val="2"/>
    </font>
    <font>
      <b/>
      <i/>
      <sz val="12"/>
      <color theme="1"/>
      <name val="Calibri"/>
      <family val="2"/>
    </font>
    <font>
      <b/>
      <sz val="12"/>
      <color theme="1"/>
      <name val="Calibri"/>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5" fontId="0" fillId="0" borderId="0" xfId="0" applyNumberFormat="1"/>
    <xf numFmtId="8" fontId="0" fillId="0" borderId="0" xfId="0" applyNumberFormat="1"/>
    <xf numFmtId="11" fontId="0" fillId="0" borderId="0" xfId="0" applyNumberFormat="1" applyBorder="1"/>
    <xf numFmtId="0" fontId="0" fillId="0" borderId="0" xfId="0" applyBorder="1"/>
    <xf numFmtId="3" fontId="0" fillId="0" borderId="0" xfId="0" applyNumberFormat="1"/>
    <xf numFmtId="10" fontId="0" fillId="0" borderId="0" xfId="0" applyNumberFormat="1"/>
    <xf numFmtId="0" fontId="4"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0" fillId="0" borderId="0" xfId="0" applyFont="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2" fillId="2" borderId="0" xfId="0" applyFont="1" applyFill="1" applyAlignment="1">
      <alignment horizontal="center" vertical="center"/>
    </xf>
    <xf numFmtId="0" fontId="10"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cellXfs>
  <cellStyles count="1">
    <cellStyle name="Normal" xfId="0" builtinId="0"/>
  </cellStyles>
  <dxfs count="32">
    <dxf>
      <numFmt numFmtId="3" formatCode="#,##0"/>
    </dxf>
    <dxf>
      <numFmt numFmtId="3" formatCode="#,##0"/>
    </dxf>
    <dxf>
      <numFmt numFmtId="3" formatCode="#,##0"/>
    </dxf>
    <dxf>
      <numFmt numFmtId="164" formatCode="_(* #,##0_);_(* \(#,##0\);_(* &quot;-&quot;??_);_(@_)"/>
    </dxf>
    <dxf>
      <numFmt numFmtId="166" formatCode="_-[$R$-416]\ * #,##0_-;\-[$R$-416]\ * #,##0_-;_-[$R$-416]\ * &quot;-&quot;??_-;_-@_-"/>
    </dxf>
    <dxf>
      <numFmt numFmtId="165" formatCode="_-[$R$-416]\ * #,##0.00_-;\-[$R$-416]\ * #,##0.00_-;_-[$R$-416]\ * &quot;-&quot;??_-;_-@_-"/>
    </dxf>
    <dxf>
      <numFmt numFmtId="14" formatCode="0.00%"/>
    </dxf>
    <dxf>
      <numFmt numFmtId="165" formatCode="_-[$R$-416]\ * #,##0.00_-;\-[$R$-416]\ * #,##0.00_-;_-[$R$-416]\ * &quot;-&quot;??_-;_-@_-"/>
    </dxf>
    <dxf>
      <numFmt numFmtId="3" formatCode="#,##0"/>
    </dxf>
    <dxf>
      <numFmt numFmtId="166" formatCode="_-[$R$-416]\ * #,##0_-;\-[$R$-416]\ * #,##0_-;_-[$R$-416]\ * &quot;-&quot;??_-;_-@_-"/>
    </dxf>
    <dxf>
      <numFmt numFmtId="3" formatCode="#,##0"/>
    </dxf>
    <dxf>
      <numFmt numFmtId="3" formatCode="#,##0"/>
    </dxf>
    <dxf>
      <numFmt numFmtId="3" formatCode="#,##0"/>
    </dxf>
    <dxf>
      <numFmt numFmtId="164" formatCode="_(* #,##0_);_(* \(#,##0\);_(* &quot;-&quot;??_);_(@_)"/>
    </dxf>
    <dxf>
      <numFmt numFmtId="166" formatCode="_-[$R$-416]\ * #,##0_-;\-[$R$-416]\ * #,##0_-;_-[$R$-416]\ * &quot;-&quot;??_-;_-@_-"/>
    </dxf>
    <dxf>
      <numFmt numFmtId="165" formatCode="_-[$R$-416]\ * #,##0.00_-;\-[$R$-416]\ * #,##0.00_-;_-[$R$-416]\ * &quot;-&quot;??_-;_-@_-"/>
    </dxf>
    <dxf>
      <numFmt numFmtId="14" formatCode="0.00%"/>
    </dxf>
    <dxf>
      <numFmt numFmtId="165" formatCode="_-[$R$-416]\ * #,##0.00_-;\-[$R$-416]\ * #,##0.00_-;_-[$R$-416]\ * &quot;-&quot;??_-;_-@_-"/>
    </dxf>
    <dxf>
      <numFmt numFmtId="3" formatCode="#,##0"/>
    </dxf>
    <dxf>
      <numFmt numFmtId="166" formatCode="_-[$R$-416]\ * #,##0_-;\-[$R$-416]\ * #,##0_-;_-[$R$-416]\ * &quot;-&quot;??_-;_-@_-"/>
    </dxf>
    <dxf>
      <numFmt numFmtId="14" formatCode="0.00%"/>
    </dxf>
    <dxf>
      <numFmt numFmtId="165" formatCode="_-[$R$-416]\ * #,##0.00_-;\-[$R$-416]\ * #,##0.00_-;_-[$R$-416]\ * &quot;-&quot;??_-;_-@_-"/>
    </dxf>
    <dxf>
      <numFmt numFmtId="166" formatCode="_-[$R$-416]\ * #,##0_-;\-[$R$-416]\ * #,##0_-;_-[$R$-416]\ * &quot;-&quot;??_-;_-@_-"/>
    </dxf>
    <dxf>
      <numFmt numFmtId="164" formatCode="_(* #,##0_);_(* \(#,##0\);_(* &quot;-&quot;??_);_(@_)"/>
    </dxf>
    <dxf>
      <numFmt numFmtId="14" formatCode="0.00%"/>
    </dxf>
    <dxf>
      <numFmt numFmtId="166" formatCode="_-[$R$-416]\ * #,##0_-;\-[$R$-416]\ * #,##0_-;_-[$R$-416]\ * &quot;-&quot;??_-;_-@_-"/>
    </dxf>
    <dxf>
      <numFmt numFmtId="3" formatCode="#,##0"/>
    </dxf>
    <dxf>
      <numFmt numFmtId="165" formatCode="_-[$R$-416]\ * #,##0.00_-;\-[$R$-416]\ * #,##0.00_-;_-[$R$-416]\ * &quot;-&quot;??_-;_-@_-"/>
    </dxf>
    <dxf>
      <numFmt numFmtId="166" formatCode="_-[$R$-416]\ * #,##0_-;\-[$R$-416]\ * #,##0_-;_-[$R$-416]\ * &quot;-&quot;??_-;_-@_-"/>
    </dxf>
    <dxf>
      <numFmt numFmtId="3" formatCode="#,##0"/>
    </dxf>
    <dxf>
      <numFmt numFmtId="3" formatCode="#,##0"/>
    </dxf>
    <dxf>
      <numFmt numFmtId="3" formatCode="#,##0"/>
    </dxf>
  </dxfs>
  <tableStyles count="0" defaultTableStyle="TableStyleMedium2" defaultPivotStyle="PivotStyleLight16"/>
  <colors>
    <mruColors>
      <color rgb="FFF26018"/>
      <color rgb="FF9A3909"/>
      <color rgb="FFC1480B"/>
      <color rgb="FF602406"/>
      <color rgb="FFFFF8F0"/>
      <color rgb="FF4D1D04"/>
      <color rgb="FF5F5449"/>
      <color rgb="FF347FC4"/>
      <color rgb="FF0D21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1.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[analise_operacional_industrial.xlsx]Analises!Produção Planejada X Produção Real</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r>
              <a:rPr lang="pt-BR" sz="1400">
                <a:latin typeface="Bahnschrift SemiCondensed" panose="020B0502040204020203" pitchFamily="34" charset="0"/>
              </a:rPr>
              <a:t>Produção</a:t>
            </a:r>
            <a:r>
              <a:rPr lang="pt-BR" sz="1400" baseline="0">
                <a:latin typeface="Bahnschrift SemiCondensed" panose="020B0502040204020203" pitchFamily="34" charset="0"/>
              </a:rPr>
              <a:t> Planejada X Produção Real</a:t>
            </a:r>
            <a:endParaRPr lang="pt-BR" sz="1400">
              <a:latin typeface="Bahnschrift SemiCondensed" panose="020B0502040204020203" pitchFamily="34" charset="0"/>
            </a:endParaRPr>
          </a:p>
        </c:rich>
      </c:tx>
      <c:layout>
        <c:manualLayout>
          <c:xMode val="edge"/>
          <c:yMode val="edge"/>
          <c:x val="2.029144193830509E-2"/>
          <c:y val="8.6050629592909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endParaRPr lang="pt-BR"/>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chemeClr val="tx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solidFill>
              <a:schemeClr val="tx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Analises!$H$3</c:f>
              <c:strCache>
                <c:ptCount val="1"/>
                <c:pt idx="0">
                  <c:v>Produção Planejada</c:v>
                </c:pt>
              </c:strCache>
            </c:strRef>
          </c:tx>
          <c:spPr>
            <a:solidFill>
              <a:schemeClr val="accent2"/>
            </a:solidFill>
            <a:ln>
              <a:solidFill>
                <a:schemeClr val="tx1"/>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Analises!$G$4:$G$16</c:f>
              <c:strCache>
                <c:ptCount val="12"/>
                <c:pt idx="0">
                  <c:v>Oct</c:v>
                </c:pt>
                <c:pt idx="1">
                  <c:v>Dec</c:v>
                </c:pt>
                <c:pt idx="2">
                  <c:v>Mar</c:v>
                </c:pt>
                <c:pt idx="3">
                  <c:v>Jan</c:v>
                </c:pt>
                <c:pt idx="4">
                  <c:v>Aug</c:v>
                </c:pt>
                <c:pt idx="5">
                  <c:v>Jul</c:v>
                </c:pt>
                <c:pt idx="6">
                  <c:v>May</c:v>
                </c:pt>
                <c:pt idx="7">
                  <c:v>Nov</c:v>
                </c:pt>
                <c:pt idx="8">
                  <c:v>Jun</c:v>
                </c:pt>
                <c:pt idx="9">
                  <c:v>Apr</c:v>
                </c:pt>
                <c:pt idx="10">
                  <c:v>Sep</c:v>
                </c:pt>
                <c:pt idx="11">
                  <c:v>Feb</c:v>
                </c:pt>
              </c:strCache>
            </c:strRef>
          </c:cat>
          <c:val>
            <c:numRef>
              <c:f>Analises!$H$4:$H$16</c:f>
              <c:numCache>
                <c:formatCode>#,##0</c:formatCode>
                <c:ptCount val="12"/>
                <c:pt idx="0">
                  <c:v>27900</c:v>
                </c:pt>
                <c:pt idx="1">
                  <c:v>27900</c:v>
                </c:pt>
                <c:pt idx="2">
                  <c:v>27900</c:v>
                </c:pt>
                <c:pt idx="3">
                  <c:v>27900</c:v>
                </c:pt>
                <c:pt idx="4">
                  <c:v>27900</c:v>
                </c:pt>
                <c:pt idx="5">
                  <c:v>27900</c:v>
                </c:pt>
                <c:pt idx="6">
                  <c:v>27900</c:v>
                </c:pt>
                <c:pt idx="7">
                  <c:v>27000</c:v>
                </c:pt>
                <c:pt idx="8">
                  <c:v>27000</c:v>
                </c:pt>
                <c:pt idx="9">
                  <c:v>27000</c:v>
                </c:pt>
                <c:pt idx="10">
                  <c:v>27000</c:v>
                </c:pt>
                <c:pt idx="11">
                  <c:v>26100</c:v>
                </c:pt>
              </c:numCache>
            </c:numRef>
          </c:val>
          <c:extLst>
            <c:ext xmlns:c16="http://schemas.microsoft.com/office/drawing/2014/chart" uri="{C3380CC4-5D6E-409C-BE32-E72D297353CC}">
              <c16:uniqueId val="{00000000-9D07-4F20-BED6-805DA218AED2}"/>
            </c:ext>
          </c:extLst>
        </c:ser>
        <c:ser>
          <c:idx val="1"/>
          <c:order val="1"/>
          <c:tx>
            <c:strRef>
              <c:f>Analises!$I$3</c:f>
              <c:strCache>
                <c:ptCount val="1"/>
                <c:pt idx="0">
                  <c:v>Produção Real</c:v>
                </c:pt>
              </c:strCache>
            </c:strRef>
          </c:tx>
          <c:spPr>
            <a:solidFill>
              <a:schemeClr val="accent4"/>
            </a:solidFill>
            <a:ln>
              <a:solidFill>
                <a:schemeClr val="tx1"/>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Analises!$G$4:$G$16</c:f>
              <c:strCache>
                <c:ptCount val="12"/>
                <c:pt idx="0">
                  <c:v>Oct</c:v>
                </c:pt>
                <c:pt idx="1">
                  <c:v>Dec</c:v>
                </c:pt>
                <c:pt idx="2">
                  <c:v>Mar</c:v>
                </c:pt>
                <c:pt idx="3">
                  <c:v>Jan</c:v>
                </c:pt>
                <c:pt idx="4">
                  <c:v>Aug</c:v>
                </c:pt>
                <c:pt idx="5">
                  <c:v>Jul</c:v>
                </c:pt>
                <c:pt idx="6">
                  <c:v>May</c:v>
                </c:pt>
                <c:pt idx="7">
                  <c:v>Nov</c:v>
                </c:pt>
                <c:pt idx="8">
                  <c:v>Jun</c:v>
                </c:pt>
                <c:pt idx="9">
                  <c:v>Apr</c:v>
                </c:pt>
                <c:pt idx="10">
                  <c:v>Sep</c:v>
                </c:pt>
                <c:pt idx="11">
                  <c:v>Feb</c:v>
                </c:pt>
              </c:strCache>
            </c:strRef>
          </c:cat>
          <c:val>
            <c:numRef>
              <c:f>Analises!$I$4:$I$16</c:f>
              <c:numCache>
                <c:formatCode>#,##0</c:formatCode>
                <c:ptCount val="12"/>
                <c:pt idx="0">
                  <c:v>23415</c:v>
                </c:pt>
                <c:pt idx="1">
                  <c:v>23399</c:v>
                </c:pt>
                <c:pt idx="2">
                  <c:v>23341</c:v>
                </c:pt>
                <c:pt idx="3">
                  <c:v>23320</c:v>
                </c:pt>
                <c:pt idx="4">
                  <c:v>23293</c:v>
                </c:pt>
                <c:pt idx="5">
                  <c:v>23283</c:v>
                </c:pt>
                <c:pt idx="6">
                  <c:v>23250</c:v>
                </c:pt>
                <c:pt idx="7">
                  <c:v>22649</c:v>
                </c:pt>
                <c:pt idx="8">
                  <c:v>22614</c:v>
                </c:pt>
                <c:pt idx="9">
                  <c:v>22455</c:v>
                </c:pt>
                <c:pt idx="10">
                  <c:v>22386</c:v>
                </c:pt>
                <c:pt idx="11">
                  <c:v>21966</c:v>
                </c:pt>
              </c:numCache>
            </c:numRef>
          </c:val>
          <c:extLst>
            <c:ext xmlns:c16="http://schemas.microsoft.com/office/drawing/2014/chart" uri="{C3380CC4-5D6E-409C-BE32-E72D297353CC}">
              <c16:uniqueId val="{00000001-9D07-4F20-BED6-805DA218AED2}"/>
            </c:ext>
          </c:extLst>
        </c:ser>
        <c:dLbls>
          <c:showLegendKey val="0"/>
          <c:showVal val="0"/>
          <c:showCatName val="0"/>
          <c:showSerName val="0"/>
          <c:showPercent val="0"/>
          <c:showBubbleSize val="0"/>
        </c:dLbls>
        <c:gapWidth val="35"/>
        <c:axId val="1372755135"/>
        <c:axId val="1379331023"/>
      </c:barChart>
      <c:catAx>
        <c:axId val="1372755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pt-BR"/>
          </a:p>
        </c:txPr>
        <c:crossAx val="1379331023"/>
        <c:crosses val="autoZero"/>
        <c:auto val="1"/>
        <c:lblAlgn val="ctr"/>
        <c:lblOffset val="100"/>
        <c:noMultiLvlLbl val="0"/>
      </c:catAx>
      <c:valAx>
        <c:axId val="1379331023"/>
        <c:scaling>
          <c:orientation val="minMax"/>
        </c:scaling>
        <c:delete val="1"/>
        <c:axPos val="l"/>
        <c:numFmt formatCode="#,##0" sourceLinked="1"/>
        <c:majorTickMark val="none"/>
        <c:minorTickMark val="none"/>
        <c:tickLblPos val="nextTo"/>
        <c:crossAx val="1372755135"/>
        <c:crosses val="autoZero"/>
        <c:crossBetween val="between"/>
      </c:valAx>
      <c:spPr>
        <a:noFill/>
        <a:ln>
          <a:noFill/>
        </a:ln>
        <a:effectLst/>
      </c:spPr>
    </c:plotArea>
    <c:legend>
      <c:legendPos val="t"/>
      <c:layout>
        <c:manualLayout>
          <c:xMode val="edge"/>
          <c:yMode val="edge"/>
          <c:x val="0.73403484741701674"/>
          <c:y val="4.3453391279478233E-2"/>
          <c:w val="0.24219826036536171"/>
          <c:h val="8.32797082797082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[analise_operacional_industrial.xlsx]Analises!Custo Total Mensal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a:latin typeface="Bahnschrift" panose="020B0502040204020203" pitchFamily="34" charset="0"/>
              </a:rPr>
              <a:t>Custo Total</a:t>
            </a:r>
            <a:r>
              <a:rPr lang="en-US" baseline="0">
                <a:latin typeface="Bahnschrift" panose="020B0502040204020203" pitchFamily="34" charset="0"/>
              </a:rPr>
              <a:t> Mensal</a:t>
            </a:r>
            <a:endParaRPr lang="en-US">
              <a:latin typeface="Bahnschrift" panose="020B0502040204020203" pitchFamily="34" charset="0"/>
            </a:endParaRPr>
          </a:p>
        </c:rich>
      </c:tx>
      <c:layout>
        <c:manualLayout>
          <c:xMode val="edge"/>
          <c:yMode val="edge"/>
          <c:x val="0.25543156844295462"/>
          <c:y val="4.765964923840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pt-BR"/>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tx1"/>
            </a:solidFill>
          </a:ln>
          <a:effectLst>
            <a:outerShdw blurRad="50800" dist="38100" dir="2700000" algn="tl" rotWithShape="0">
              <a:prstClr val="black">
                <a:alpha val="15000"/>
              </a:prstClr>
            </a:outerShdw>
          </a:effectLst>
        </c:spPr>
        <c:marker>
          <c:symbol val="none"/>
        </c:marker>
        <c:dLbl>
          <c:idx val="0"/>
          <c:numFmt formatCode="\R&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hnschrift SemiCondensed" panose="020B0502040204020203"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tx1"/>
            </a:solidFill>
          </a:ln>
          <a:effectLst>
            <a:outerShdw blurRad="50800" dist="38100" dir="2700000" algn="tl" rotWithShape="0">
              <a:prstClr val="black">
                <a:alpha val="15000"/>
              </a:prstClr>
            </a:outerShdw>
          </a:effectLst>
        </c:spPr>
      </c:pivotFmt>
    </c:pivotFmts>
    <c:plotArea>
      <c:layout/>
      <c:barChart>
        <c:barDir val="bar"/>
        <c:grouping val="clustered"/>
        <c:varyColors val="0"/>
        <c:ser>
          <c:idx val="0"/>
          <c:order val="0"/>
          <c:tx>
            <c:strRef>
              <c:f>Analises!$L$3</c:f>
              <c:strCache>
                <c:ptCount val="1"/>
                <c:pt idx="0">
                  <c:v>Total</c:v>
                </c:pt>
              </c:strCache>
            </c:strRef>
          </c:tx>
          <c:spPr>
            <a:solidFill>
              <a:schemeClr val="accent2"/>
            </a:solidFill>
            <a:ln>
              <a:solidFill>
                <a:schemeClr val="tx1"/>
              </a:solidFill>
            </a:ln>
            <a:effectLst>
              <a:outerShdw blurRad="50800" dist="38100" dir="2700000" algn="tl" rotWithShape="0">
                <a:prstClr val="black">
                  <a:alpha val="15000"/>
                </a:prstClr>
              </a:outerShdw>
            </a:effectLst>
          </c:spPr>
          <c:invertIfNegative val="0"/>
          <c:dLbls>
            <c:numFmt formatCode="\R&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hnschrift SemiCondensed" panose="020B0502040204020203"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Analises!$K$4:$K$16</c:f>
              <c:strCache>
                <c:ptCount val="12"/>
                <c:pt idx="0">
                  <c:v>Feb</c:v>
                </c:pt>
                <c:pt idx="1">
                  <c:v>Aug</c:v>
                </c:pt>
                <c:pt idx="2">
                  <c:v>Jun</c:v>
                </c:pt>
                <c:pt idx="3">
                  <c:v>Nov</c:v>
                </c:pt>
                <c:pt idx="4">
                  <c:v>Sep</c:v>
                </c:pt>
                <c:pt idx="5">
                  <c:v>Apr</c:v>
                </c:pt>
                <c:pt idx="6">
                  <c:v>Dec</c:v>
                </c:pt>
                <c:pt idx="7">
                  <c:v>Mar</c:v>
                </c:pt>
                <c:pt idx="8">
                  <c:v>Oct</c:v>
                </c:pt>
                <c:pt idx="9">
                  <c:v>Jan</c:v>
                </c:pt>
                <c:pt idx="10">
                  <c:v>Jul</c:v>
                </c:pt>
                <c:pt idx="11">
                  <c:v>May</c:v>
                </c:pt>
              </c:strCache>
            </c:strRef>
          </c:cat>
          <c:val>
            <c:numRef>
              <c:f>Analises!$L$4:$L$16</c:f>
              <c:numCache>
                <c:formatCode>_-[$R$-416]\ * #,##0_-;\-[$R$-416]\ * #,##0_-;_-[$R$-416]\ * "-"??_-;_-@_-</c:formatCode>
                <c:ptCount val="12"/>
                <c:pt idx="0">
                  <c:v>721064</c:v>
                </c:pt>
                <c:pt idx="1">
                  <c:v>751071</c:v>
                </c:pt>
                <c:pt idx="2">
                  <c:v>758640</c:v>
                </c:pt>
                <c:pt idx="3">
                  <c:v>772409</c:v>
                </c:pt>
                <c:pt idx="4">
                  <c:v>782616</c:v>
                </c:pt>
                <c:pt idx="5">
                  <c:v>786736</c:v>
                </c:pt>
                <c:pt idx="6">
                  <c:v>798204</c:v>
                </c:pt>
                <c:pt idx="7">
                  <c:v>799647</c:v>
                </c:pt>
                <c:pt idx="8">
                  <c:v>812088</c:v>
                </c:pt>
                <c:pt idx="9">
                  <c:v>844165</c:v>
                </c:pt>
                <c:pt idx="10">
                  <c:v>845687</c:v>
                </c:pt>
                <c:pt idx="11">
                  <c:v>861321</c:v>
                </c:pt>
              </c:numCache>
            </c:numRef>
          </c:val>
          <c:extLst>
            <c:ext xmlns:c16="http://schemas.microsoft.com/office/drawing/2014/chart" uri="{C3380CC4-5D6E-409C-BE32-E72D297353CC}">
              <c16:uniqueId val="{00000000-C2AE-4B2D-BF9D-A09F6BB9FC11}"/>
            </c:ext>
          </c:extLst>
        </c:ser>
        <c:dLbls>
          <c:dLblPos val="outEnd"/>
          <c:showLegendKey val="0"/>
          <c:showVal val="1"/>
          <c:showCatName val="0"/>
          <c:showSerName val="0"/>
          <c:showPercent val="0"/>
          <c:showBubbleSize val="0"/>
        </c:dLbls>
        <c:gapWidth val="182"/>
        <c:axId val="189155232"/>
        <c:axId val="189141792"/>
      </c:barChart>
      <c:catAx>
        <c:axId val="1891552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pt-BR"/>
          </a:p>
        </c:txPr>
        <c:crossAx val="189141792"/>
        <c:crosses val="autoZero"/>
        <c:auto val="1"/>
        <c:lblAlgn val="ctr"/>
        <c:lblOffset val="100"/>
        <c:noMultiLvlLbl val="0"/>
      </c:catAx>
      <c:valAx>
        <c:axId val="189141792"/>
        <c:scaling>
          <c:orientation val="minMax"/>
        </c:scaling>
        <c:delete val="1"/>
        <c:axPos val="b"/>
        <c:numFmt formatCode="_-[$R$-416]\ * #,##0_-;\-[$R$-416]\ * #,##0_-;_-[$R$-416]\ * &quot;-&quot;??_-;_-@_-" sourceLinked="1"/>
        <c:majorTickMark val="out"/>
        <c:minorTickMark val="none"/>
        <c:tickLblPos val="nextTo"/>
        <c:crossAx val="18915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[analise_operacional_industrial.xlsx]Analises!Eficiência</c:name>
    <c:fmtId val="2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pt-BR" sz="1600"/>
              <a:t>Eficiência Financeira</a:t>
            </a:r>
          </a:p>
        </c:rich>
      </c:tx>
      <c:layout>
        <c:manualLayout>
          <c:xMode val="edge"/>
          <c:yMode val="edge"/>
          <c:x val="3.6803678390068158E-2"/>
          <c:y val="6.3034490289214151E-2"/>
        </c:manualLayout>
      </c:layout>
      <c:overlay val="0"/>
      <c:spPr>
        <a:noFill/>
        <a:ln>
          <a:noFill/>
        </a:ln>
        <a:effectLst/>
      </c:spPr>
    </c:title>
    <c:autoTitleDeleted val="0"/>
    <c:pivotFmts>
      <c:pivotFmt>
        <c:idx val="0"/>
        <c:spPr>
          <a:solidFill>
            <a:schemeClr val="dk1">
              <a:tint val="885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delete val="1"/>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delete val="1"/>
          <c:extLst>
            <c:ext xmlns:c15="http://schemas.microsoft.com/office/drawing/2012/chart" uri="{CE6537A1-D6FC-4f65-9D91-7224C49458BB}"/>
          </c:extLst>
        </c:dLbl>
      </c:pivotFmt>
      <c:pivotFmt>
        <c:idx val="4"/>
        <c:spPr>
          <a:solidFill>
            <a:schemeClr val="dk1">
              <a:tint val="88500"/>
            </a:schemeClr>
          </a:solidFill>
          <a:ln>
            <a:noFill/>
          </a:ln>
          <a:effectLst>
            <a:outerShdw blurRad="50800" dist="38100" dir="2700000" algn="tl" rotWithShape="0">
              <a:prstClr val="black">
                <a:alpha val="74000"/>
              </a:prstClr>
            </a:outerShdw>
          </a:effectLst>
        </c:spPr>
        <c:marker>
          <c:symbol val="none"/>
        </c:marker>
        <c:dLbl>
          <c:idx val="0"/>
          <c:delete val="1"/>
          <c:extLst>
            <c:ext xmlns:c15="http://schemas.microsoft.com/office/drawing/2012/chart" uri="{CE6537A1-D6FC-4f65-9D91-7224C49458BB}"/>
          </c:extLst>
        </c:dLbl>
      </c:pivotFmt>
      <c:pivotFmt>
        <c:idx val="5"/>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0"/>
              <c:y val="6.7236789641828429E-2"/>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5.5091466133064093E-2"/>
              <c:y val="-0.2521379611568566"/>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4.5714185155648228E-2"/>
              <c:y val="-0.10925978316797121"/>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5.53426430303273E-2"/>
              <c:y val="-0.15548507604672823"/>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2.0931408105268278E-3"/>
              <c:y val="-7.5641388347056943E-2"/>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9.312041254507212E-17"/>
              <c:y val="1.2606898057842753E-2"/>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3.5890442702577713E-2"/>
              <c:y val="-0.24793566180424234"/>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1.8838267294740762E-2"/>
              <c:y val="-0.22692416504117094"/>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1.6745126484214012E-2"/>
              <c:y val="-0.11346208252058555"/>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1.6745126484214012E-2"/>
              <c:y val="-3.7820694173528492E-2"/>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5.2328520263168782E-2"/>
              <c:y val="-0.12606898057842839"/>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Lbl>
          <c:idx val="0"/>
          <c:layout>
            <c:manualLayout>
              <c:x val="-1.5349521958208689E-16"/>
              <c:y val="-7.5641388347057026E-2"/>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Analises!$O$3</c:f>
              <c:strCache>
                <c:ptCount val="1"/>
                <c:pt idx="0">
                  <c:v>Produção Real</c:v>
                </c:pt>
              </c:strCache>
            </c:strRef>
          </c:tx>
          <c:spPr>
            <a:solidFill>
              <a:schemeClr val="dk1">
                <a:tint val="88500"/>
              </a:schemeClr>
            </a:solidFill>
            <a:ln>
              <a:noFill/>
            </a:ln>
            <a:effectLst>
              <a:outerShdw blurRad="50800" dist="38100" dir="2700000" algn="tl" rotWithShape="0">
                <a:prstClr val="black">
                  <a:alpha val="74000"/>
                </a:prstClr>
              </a:outerShdw>
            </a:effectLst>
          </c:spPr>
          <c:invertIfNegative val="0"/>
          <c:cat>
            <c:strRef>
              <c:f>Analises!$N$4:$N$16</c:f>
              <c:strCache>
                <c:ptCount val="12"/>
                <c:pt idx="0">
                  <c:v>Feb</c:v>
                </c:pt>
                <c:pt idx="1">
                  <c:v>Sep</c:v>
                </c:pt>
                <c:pt idx="2">
                  <c:v>Apr</c:v>
                </c:pt>
                <c:pt idx="3">
                  <c:v>Jun</c:v>
                </c:pt>
                <c:pt idx="4">
                  <c:v>Nov</c:v>
                </c:pt>
                <c:pt idx="5">
                  <c:v>May</c:v>
                </c:pt>
                <c:pt idx="6">
                  <c:v>Jul</c:v>
                </c:pt>
                <c:pt idx="7">
                  <c:v>Aug</c:v>
                </c:pt>
                <c:pt idx="8">
                  <c:v>Jan</c:v>
                </c:pt>
                <c:pt idx="9">
                  <c:v>Mar</c:v>
                </c:pt>
                <c:pt idx="10">
                  <c:v>Dec</c:v>
                </c:pt>
                <c:pt idx="11">
                  <c:v>Oct</c:v>
                </c:pt>
              </c:strCache>
            </c:strRef>
          </c:cat>
          <c:val>
            <c:numRef>
              <c:f>Analises!$O$4:$O$16</c:f>
              <c:numCache>
                <c:formatCode>#,##0</c:formatCode>
                <c:ptCount val="12"/>
                <c:pt idx="0">
                  <c:v>21966</c:v>
                </c:pt>
                <c:pt idx="1">
                  <c:v>22386</c:v>
                </c:pt>
                <c:pt idx="2">
                  <c:v>22455</c:v>
                </c:pt>
                <c:pt idx="3">
                  <c:v>22614</c:v>
                </c:pt>
                <c:pt idx="4">
                  <c:v>22649</c:v>
                </c:pt>
                <c:pt idx="5">
                  <c:v>23250</c:v>
                </c:pt>
                <c:pt idx="6">
                  <c:v>23283</c:v>
                </c:pt>
                <c:pt idx="7">
                  <c:v>23293</c:v>
                </c:pt>
                <c:pt idx="8">
                  <c:v>23320</c:v>
                </c:pt>
                <c:pt idx="9">
                  <c:v>23341</c:v>
                </c:pt>
                <c:pt idx="10">
                  <c:v>23399</c:v>
                </c:pt>
                <c:pt idx="11">
                  <c:v>23415</c:v>
                </c:pt>
              </c:numCache>
            </c:numRef>
          </c:val>
          <c:extLst>
            <c:ext xmlns:c16="http://schemas.microsoft.com/office/drawing/2014/chart" uri="{C3380CC4-5D6E-409C-BE32-E72D297353CC}">
              <c16:uniqueId val="{00000000-9314-42B5-981D-8D8BB51CE92B}"/>
            </c:ext>
          </c:extLst>
        </c:ser>
        <c:dLbls>
          <c:showLegendKey val="0"/>
          <c:showVal val="0"/>
          <c:showCatName val="0"/>
          <c:showSerName val="0"/>
          <c:showPercent val="0"/>
          <c:showBubbleSize val="0"/>
        </c:dLbls>
        <c:gapWidth val="55"/>
        <c:axId val="742667375"/>
        <c:axId val="742660175"/>
      </c:barChart>
      <c:lineChart>
        <c:grouping val="standard"/>
        <c:varyColors val="0"/>
        <c:ser>
          <c:idx val="1"/>
          <c:order val="1"/>
          <c:tx>
            <c:strRef>
              <c:f>Analises!$P$3</c:f>
              <c:strCache>
                <c:ptCount val="1"/>
                <c:pt idx="0">
                  <c:v>Custo Por Unidade</c:v>
                </c:pt>
              </c:strCache>
            </c:strRef>
          </c:tx>
          <c:spPr>
            <a:ln w="28575" cap="rnd">
              <a:solidFill>
                <a:schemeClr val="dk1">
                  <a:tint val="55000"/>
                </a:schemeClr>
              </a:solidFill>
              <a:round/>
            </a:ln>
            <a:effectLst/>
          </c:spPr>
          <c:marker>
            <c:symbol val="circle"/>
            <c:size val="5"/>
            <c:spPr>
              <a:solidFill>
                <a:schemeClr val="tx1">
                  <a:lumMod val="50000"/>
                  <a:lumOff val="50000"/>
                </a:schemeClr>
              </a:solidFill>
              <a:ln w="22225">
                <a:solidFill>
                  <a:schemeClr val="dk1">
                    <a:tint val="55000"/>
                  </a:schemeClr>
                </a:solidFill>
              </a:ln>
              <a:effectLst/>
            </c:spPr>
          </c:marker>
          <c:dPt>
            <c:idx val="0"/>
            <c:bubble3D val="0"/>
            <c:extLst>
              <c:ext xmlns:c16="http://schemas.microsoft.com/office/drawing/2014/chart" uri="{C3380CC4-5D6E-409C-BE32-E72D297353CC}">
                <c16:uniqueId val="{00000005-9314-42B5-981D-8D8BB51CE92B}"/>
              </c:ext>
            </c:extLst>
          </c:dPt>
          <c:dPt>
            <c:idx val="1"/>
            <c:bubble3D val="0"/>
            <c:extLst>
              <c:ext xmlns:c16="http://schemas.microsoft.com/office/drawing/2014/chart" uri="{C3380CC4-5D6E-409C-BE32-E72D297353CC}">
                <c16:uniqueId val="{00000004-9314-42B5-981D-8D8BB51CE92B}"/>
              </c:ext>
            </c:extLst>
          </c:dPt>
          <c:dPt>
            <c:idx val="2"/>
            <c:bubble3D val="0"/>
            <c:extLst>
              <c:ext xmlns:c16="http://schemas.microsoft.com/office/drawing/2014/chart" uri="{C3380CC4-5D6E-409C-BE32-E72D297353CC}">
                <c16:uniqueId val="{00000009-9314-42B5-981D-8D8BB51CE92B}"/>
              </c:ext>
            </c:extLst>
          </c:dPt>
          <c:dPt>
            <c:idx val="3"/>
            <c:bubble3D val="0"/>
            <c:extLst>
              <c:ext xmlns:c16="http://schemas.microsoft.com/office/drawing/2014/chart" uri="{C3380CC4-5D6E-409C-BE32-E72D297353CC}">
                <c16:uniqueId val="{0000000C-9314-42B5-981D-8D8BB51CE92B}"/>
              </c:ext>
            </c:extLst>
          </c:dPt>
          <c:dPt>
            <c:idx val="4"/>
            <c:bubble3D val="0"/>
            <c:extLst>
              <c:ext xmlns:c16="http://schemas.microsoft.com/office/drawing/2014/chart" uri="{C3380CC4-5D6E-409C-BE32-E72D297353CC}">
                <c16:uniqueId val="{00000003-9314-42B5-981D-8D8BB51CE92B}"/>
              </c:ext>
            </c:extLst>
          </c:dPt>
          <c:dPt>
            <c:idx val="5"/>
            <c:bubble3D val="0"/>
            <c:extLst>
              <c:ext xmlns:c16="http://schemas.microsoft.com/office/drawing/2014/chart" uri="{C3380CC4-5D6E-409C-BE32-E72D297353CC}">
                <c16:uniqueId val="{00000006-9314-42B5-981D-8D8BB51CE92B}"/>
              </c:ext>
            </c:extLst>
          </c:dPt>
          <c:dPt>
            <c:idx val="6"/>
            <c:bubble3D val="0"/>
            <c:extLst>
              <c:ext xmlns:c16="http://schemas.microsoft.com/office/drawing/2014/chart" uri="{C3380CC4-5D6E-409C-BE32-E72D297353CC}">
                <c16:uniqueId val="{0000000B-9314-42B5-981D-8D8BB51CE92B}"/>
              </c:ext>
            </c:extLst>
          </c:dPt>
          <c:dPt>
            <c:idx val="7"/>
            <c:bubble3D val="0"/>
            <c:extLst>
              <c:ext xmlns:c16="http://schemas.microsoft.com/office/drawing/2014/chart" uri="{C3380CC4-5D6E-409C-BE32-E72D297353CC}">
                <c16:uniqueId val="{00000007-9314-42B5-981D-8D8BB51CE92B}"/>
              </c:ext>
            </c:extLst>
          </c:dPt>
          <c:dPt>
            <c:idx val="8"/>
            <c:bubble3D val="0"/>
            <c:extLst>
              <c:ext xmlns:c16="http://schemas.microsoft.com/office/drawing/2014/chart" uri="{C3380CC4-5D6E-409C-BE32-E72D297353CC}">
                <c16:uniqueId val="{0000000D-9314-42B5-981D-8D8BB51CE92B}"/>
              </c:ext>
            </c:extLst>
          </c:dPt>
          <c:dPt>
            <c:idx val="9"/>
            <c:bubble3D val="0"/>
            <c:extLst>
              <c:ext xmlns:c16="http://schemas.microsoft.com/office/drawing/2014/chart" uri="{C3380CC4-5D6E-409C-BE32-E72D297353CC}">
                <c16:uniqueId val="{00000008-9314-42B5-981D-8D8BB51CE92B}"/>
              </c:ext>
            </c:extLst>
          </c:dPt>
          <c:dPt>
            <c:idx val="10"/>
            <c:bubble3D val="0"/>
            <c:extLst>
              <c:ext xmlns:c16="http://schemas.microsoft.com/office/drawing/2014/chart" uri="{C3380CC4-5D6E-409C-BE32-E72D297353CC}">
                <c16:uniqueId val="{00000002-9314-42B5-981D-8D8BB51CE92B}"/>
              </c:ext>
            </c:extLst>
          </c:dPt>
          <c:dPt>
            <c:idx val="11"/>
            <c:bubble3D val="0"/>
            <c:extLst>
              <c:ext xmlns:c16="http://schemas.microsoft.com/office/drawing/2014/chart" uri="{C3380CC4-5D6E-409C-BE32-E72D297353CC}">
                <c16:uniqueId val="{0000000A-9314-42B5-981D-8D8BB51CE92B}"/>
              </c:ext>
            </c:extLst>
          </c:dPt>
          <c:dLbls>
            <c:dLbl>
              <c:idx val="0"/>
              <c:layout>
                <c:manualLayout>
                  <c:x val="-5.53426430303273E-2"/>
                  <c:y val="-0.155485076046728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14-42B5-981D-8D8BB51CE92B}"/>
                </c:ext>
              </c:extLst>
            </c:dLbl>
            <c:dLbl>
              <c:idx val="1"/>
              <c:layout>
                <c:manualLayout>
                  <c:x val="-4.5714185155648228E-2"/>
                  <c:y val="-0.109259783167971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14-42B5-981D-8D8BB51CE92B}"/>
                </c:ext>
              </c:extLst>
            </c:dLbl>
            <c:dLbl>
              <c:idx val="2"/>
              <c:layout>
                <c:manualLayout>
                  <c:x val="-1.8838267294740762E-2"/>
                  <c:y val="-0.22692416504117094"/>
                </c:manualLayout>
              </c:layout>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9314-42B5-981D-8D8BB51CE92B}"/>
                </c:ext>
              </c:extLst>
            </c:dLbl>
            <c:dLbl>
              <c:idx val="3"/>
              <c:layout>
                <c:manualLayout>
                  <c:x val="-5.2328520263168782E-2"/>
                  <c:y val="-0.126068980578428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314-42B5-981D-8D8BB51CE92B}"/>
                </c:ext>
              </c:extLst>
            </c:dLbl>
            <c:dLbl>
              <c:idx val="4"/>
              <c:layout>
                <c:manualLayout>
                  <c:x val="-5.5091466133064093E-2"/>
                  <c:y val="-0.25213796115685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14-42B5-981D-8D8BB51CE92B}"/>
                </c:ext>
              </c:extLst>
            </c:dLbl>
            <c:dLbl>
              <c:idx val="5"/>
              <c:layout>
                <c:manualLayout>
                  <c:x val="-2.0931408105268278E-3"/>
                  <c:y val="-7.56413883470569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14-42B5-981D-8D8BB51CE92B}"/>
                </c:ext>
              </c:extLst>
            </c:dLbl>
            <c:dLbl>
              <c:idx val="6"/>
              <c:layout>
                <c:manualLayout>
                  <c:x val="1.6745126484214012E-2"/>
                  <c:y val="-3.7820694173528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14-42B5-981D-8D8BB51CE92B}"/>
                </c:ext>
              </c:extLst>
            </c:dLbl>
            <c:dLbl>
              <c:idx val="7"/>
              <c:layout>
                <c:manualLayout>
                  <c:x val="-9.312041254507212E-17"/>
                  <c:y val="1.2606898057842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14-42B5-981D-8D8BB51CE92B}"/>
                </c:ext>
              </c:extLst>
            </c:dLbl>
            <c:dLbl>
              <c:idx val="8"/>
              <c:layout>
                <c:manualLayout>
                  <c:x val="-1.5349521958208689E-16"/>
                  <c:y val="-7.56413883470570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14-42B5-981D-8D8BB51CE92B}"/>
                </c:ext>
              </c:extLst>
            </c:dLbl>
            <c:dLbl>
              <c:idx val="9"/>
              <c:layout>
                <c:manualLayout>
                  <c:x val="3.5890442702577713E-2"/>
                  <c:y val="-0.247935661804242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14-42B5-981D-8D8BB51CE92B}"/>
                </c:ext>
              </c:extLst>
            </c:dLbl>
            <c:dLbl>
              <c:idx val="10"/>
              <c:layout>
                <c:manualLayout>
                  <c:x val="0"/>
                  <c:y val="6.72367896418284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14-42B5-981D-8D8BB51CE92B}"/>
                </c:ext>
              </c:extLst>
            </c:dLbl>
            <c:dLbl>
              <c:idx val="11"/>
              <c:layout>
                <c:manualLayout>
                  <c:x val="-1.6745126484214012E-2"/>
                  <c:y val="-0.113462082520585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314-42B5-981D-8D8BB51CE92B}"/>
                </c:ext>
              </c:extLst>
            </c:dLbl>
            <c:spPr>
              <a:solidFill>
                <a:srgbClr val="9A3909"/>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lumMod val="35000"/>
                          <a:lumOff val="65000"/>
                        </a:schemeClr>
                      </a:solidFill>
                      <a:round/>
                    </a:ln>
                    <a:effectLst/>
                  </c:spPr>
                </c15:leaderLines>
              </c:ext>
            </c:extLst>
          </c:dLbls>
          <c:cat>
            <c:strRef>
              <c:f>Analises!$N$4:$N$16</c:f>
              <c:strCache>
                <c:ptCount val="12"/>
                <c:pt idx="0">
                  <c:v>Feb</c:v>
                </c:pt>
                <c:pt idx="1">
                  <c:v>Sep</c:v>
                </c:pt>
                <c:pt idx="2">
                  <c:v>Apr</c:v>
                </c:pt>
                <c:pt idx="3">
                  <c:v>Jun</c:v>
                </c:pt>
                <c:pt idx="4">
                  <c:v>Nov</c:v>
                </c:pt>
                <c:pt idx="5">
                  <c:v>May</c:v>
                </c:pt>
                <c:pt idx="6">
                  <c:v>Jul</c:v>
                </c:pt>
                <c:pt idx="7">
                  <c:v>Aug</c:v>
                </c:pt>
                <c:pt idx="8">
                  <c:v>Jan</c:v>
                </c:pt>
                <c:pt idx="9">
                  <c:v>Mar</c:v>
                </c:pt>
                <c:pt idx="10">
                  <c:v>Dec</c:v>
                </c:pt>
                <c:pt idx="11">
                  <c:v>Oct</c:v>
                </c:pt>
              </c:strCache>
            </c:strRef>
          </c:cat>
          <c:val>
            <c:numRef>
              <c:f>Analises!$P$4:$P$16</c:f>
              <c:numCache>
                <c:formatCode>_-[$R$-416]\ * #,##0.00_-;\-[$R$-416]\ * #,##0.00_-;_-[$R$-416]\ * "-"??_-;_-@_-</c:formatCode>
                <c:ptCount val="12"/>
                <c:pt idx="0">
                  <c:v>32.826368023308753</c:v>
                </c:pt>
                <c:pt idx="1">
                  <c:v>34.960064325917983</c:v>
                </c:pt>
                <c:pt idx="2">
                  <c:v>35.036116677800045</c:v>
                </c:pt>
                <c:pt idx="3">
                  <c:v>33.547360042451579</c:v>
                </c:pt>
                <c:pt idx="4">
                  <c:v>34.103448275862071</c:v>
                </c:pt>
                <c:pt idx="5">
                  <c:v>37.046064516129029</c:v>
                </c:pt>
                <c:pt idx="6">
                  <c:v>36.322080487909631</c:v>
                </c:pt>
                <c:pt idx="7">
                  <c:v>32.244494054007639</c:v>
                </c:pt>
                <c:pt idx="8">
                  <c:v>36.199185248713547</c:v>
                </c:pt>
                <c:pt idx="9">
                  <c:v>34.259329077588795</c:v>
                </c:pt>
                <c:pt idx="10">
                  <c:v>34.112739860677806</c:v>
                </c:pt>
                <c:pt idx="11">
                  <c:v>34.682383087764251</c:v>
                </c:pt>
              </c:numCache>
            </c:numRef>
          </c:val>
          <c:smooth val="0"/>
          <c:extLst>
            <c:ext xmlns:c16="http://schemas.microsoft.com/office/drawing/2014/chart" uri="{C3380CC4-5D6E-409C-BE32-E72D297353CC}">
              <c16:uniqueId val="{00000001-9314-42B5-981D-8D8BB51CE92B}"/>
            </c:ext>
          </c:extLst>
        </c:ser>
        <c:dLbls>
          <c:showLegendKey val="0"/>
          <c:showVal val="0"/>
          <c:showCatName val="0"/>
          <c:showSerName val="0"/>
          <c:showPercent val="0"/>
          <c:showBubbleSize val="0"/>
        </c:dLbls>
        <c:marker val="1"/>
        <c:smooth val="0"/>
        <c:axId val="742661135"/>
        <c:axId val="742668815"/>
      </c:lineChart>
      <c:catAx>
        <c:axId val="74266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742660175"/>
        <c:crosses val="autoZero"/>
        <c:auto val="1"/>
        <c:lblAlgn val="ctr"/>
        <c:lblOffset val="100"/>
        <c:noMultiLvlLbl val="0"/>
      </c:catAx>
      <c:valAx>
        <c:axId val="7426601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742667375"/>
        <c:crosses val="autoZero"/>
        <c:crossBetween val="between"/>
      </c:valAx>
      <c:valAx>
        <c:axId val="742668815"/>
        <c:scaling>
          <c:orientation val="minMax"/>
        </c:scaling>
        <c:delete val="0"/>
        <c:axPos val="r"/>
        <c:numFmt formatCode="_-[$R$-416]\ * #,##0.00_-;\-[$R$-416]\ * #,##0.00_-;_-[$R$-416]\ * &quot;-&quot;??_-;_-@_-" sourceLinked="1"/>
        <c:majorTickMark val="out"/>
        <c:minorTickMark val="none"/>
        <c:tickLblPos val="nextTo"/>
        <c:spPr>
          <a:noFill/>
          <a:ln>
            <a:noFill/>
          </a:ln>
          <a:effectLst/>
        </c:spPr>
        <c:txPr>
          <a:bodyPr rot="-60000000" spcFirstLastPara="1" vertOverflow="ellipsis" vert="horz" wrap="square" anchor="ctr" anchorCtr="1"/>
          <a:lstStyle/>
          <a:p>
            <a:pPr>
              <a:defRPr sz="100" b="1" i="0" u="none" strike="noStrike" kern="1200" baseline="0">
                <a:solidFill>
                  <a:schemeClr val="tx1">
                    <a:lumMod val="65000"/>
                    <a:lumOff val="35000"/>
                  </a:schemeClr>
                </a:solidFill>
                <a:latin typeface="+mn-lt"/>
                <a:ea typeface="+mn-ea"/>
                <a:cs typeface="+mn-cs"/>
              </a:defRPr>
            </a:pPr>
            <a:endParaRPr lang="pt-BR"/>
          </a:p>
        </c:txPr>
        <c:crossAx val="742661135"/>
        <c:crosses val="max"/>
        <c:crossBetween val="between"/>
      </c:valAx>
      <c:catAx>
        <c:axId val="742661135"/>
        <c:scaling>
          <c:orientation val="minMax"/>
        </c:scaling>
        <c:delete val="1"/>
        <c:axPos val="b"/>
        <c:numFmt formatCode="General" sourceLinked="1"/>
        <c:majorTickMark val="out"/>
        <c:minorTickMark val="none"/>
        <c:tickLblPos val="nextTo"/>
        <c:crossAx val="742668815"/>
        <c:crosses val="autoZero"/>
        <c:auto val="1"/>
        <c:lblAlgn val="ctr"/>
        <c:lblOffset val="100"/>
        <c:noMultiLvlLbl val="0"/>
      </c:catAx>
      <c:spPr>
        <a:noFill/>
        <a:ln>
          <a:noFill/>
        </a:ln>
        <a:effectLst/>
      </c:spPr>
    </c:plotArea>
    <c:legend>
      <c:legendPos val="t"/>
      <c:layout>
        <c:manualLayout>
          <c:xMode val="edge"/>
          <c:yMode val="edge"/>
          <c:x val="0.57986691909615218"/>
          <c:y val="8.4424193994020819E-2"/>
          <c:w val="0.40271980685195902"/>
          <c:h val="8.653592735983549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[analise_operacional_industrial.xlsx]Analises!Composição de Custos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Composição de Custos</a:t>
            </a:r>
          </a:p>
        </c:rich>
      </c:tx>
      <c:layout>
        <c:manualLayout>
          <c:xMode val="edge"/>
          <c:yMode val="edge"/>
          <c:x val="0.27527796167330282"/>
          <c:y val="1.582236298393503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277777777777783"/>
              <c:y val="-4.6296296296296294E-3"/>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3E99AA38-D6DD-4FBE-8320-B99657ED7DE6}" type="CATEGORYNAME">
                  <a:rPr lang="en-US"/>
                  <a:pPr>
                    <a:defRPr sz="1000" b="0" i="0" u="none" strike="noStrike" kern="1200" baseline="0">
                      <a:solidFill>
                        <a:schemeClr val="tx1">
                          <a:lumMod val="75000"/>
                          <a:lumOff val="25000"/>
                        </a:schemeClr>
                      </a:solidFill>
                      <a:latin typeface="+mn-lt"/>
                      <a:ea typeface="+mn-ea"/>
                      <a:cs typeface="+mn-cs"/>
                    </a:defRPr>
                  </a:pPr>
                  <a:t>[CATEGORY NAME]</a:t>
                </a:fld>
                <a:r>
                  <a:rPr lang="en-US" baseline="0"/>
                  <a:t> </a:t>
                </a:r>
                <a:fld id="{7830B143-ADD1-4546-8DBA-B4A35892F8C5}" type="VALUE">
                  <a:rPr lang="en-US" b="1" baseline="0"/>
                  <a:pPr>
                    <a:defRPr sz="10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tint val="77000"/>
            </a:schemeClr>
          </a:solidFill>
          <a:ln w="19050">
            <a:solidFill>
              <a:schemeClr val="lt1"/>
            </a:solidFill>
          </a:ln>
          <a:effectLst/>
        </c:spPr>
        <c:dLbl>
          <c:idx val="0"/>
          <c:layout>
            <c:manualLayout>
              <c:x val="-3.6111111111111135E-2"/>
              <c:y val="-3.240740740740748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330FB5-6CC3-49B4-96E6-75CDFF2FAAB5}"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48F0E47F-6967-44FB-B5C9-7FDBA0FB6D8B}"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pt-B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tint val="54000"/>
            </a:schemeClr>
          </a:solidFill>
          <a:ln w="19050">
            <a:solidFill>
              <a:schemeClr val="lt1"/>
            </a:solidFill>
          </a:ln>
          <a:effectLst/>
        </c:spPr>
        <c:dLbl>
          <c:idx val="0"/>
          <c:layout>
            <c:manualLayout>
              <c:x val="-5.5555555555555558E-3"/>
              <c:y val="-2.31481481481481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E4E816-BF4E-4709-8F83-CE9268CD6A1E}"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676A159-8841-48EE-A982-63BEB0CEB5D2}"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hade val="53000"/>
            </a:schemeClr>
          </a:solidFill>
          <a:ln w="19050">
            <a:solidFill>
              <a:schemeClr val="lt1"/>
            </a:solidFill>
          </a:ln>
          <a:effectLst/>
        </c:spPr>
        <c:dLbl>
          <c:idx val="0"/>
          <c:layout>
            <c:manualLayout>
              <c:x val="1.6666666666666666E-2"/>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50C11A-BC23-42C1-B421-70F9A325717C}"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A38C9AF0-4577-43CA-9236-EE72CA8295C8}"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pt-B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2">
              <a:shade val="76000"/>
            </a:schemeClr>
          </a:solidFill>
          <a:ln w="19050">
            <a:solidFill>
              <a:schemeClr val="lt1"/>
            </a:solidFill>
          </a:ln>
          <a:effectLst/>
        </c:spPr>
        <c:dLbl>
          <c:idx val="0"/>
          <c:layout>
            <c:manualLayout>
              <c:x val="2.2222222222222119E-2"/>
              <c:y val="-2.777777777777786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8970C3-10DE-4317-8D4D-E0C42768BB6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C41FC35-8F22-496C-9F40-15AAEE350A8A}"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hade val="53000"/>
            </a:schemeClr>
          </a:solidFill>
          <a:ln w="19050">
            <a:solidFill>
              <a:schemeClr val="lt1"/>
            </a:solidFill>
          </a:ln>
          <a:effectLst/>
        </c:spPr>
        <c:dLbl>
          <c:idx val="0"/>
          <c:layout>
            <c:manualLayout>
              <c:x val="1.6666666666666666E-2"/>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50C11A-BC23-42C1-B421-70F9A325717C}"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A38C9AF0-4577-43CA-9236-EE72CA8295C8}"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pt-B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hade val="76000"/>
            </a:schemeClr>
          </a:solidFill>
          <a:ln w="19050">
            <a:solidFill>
              <a:schemeClr val="lt1"/>
            </a:solidFill>
          </a:ln>
          <a:effectLst/>
        </c:spPr>
        <c:dLbl>
          <c:idx val="0"/>
          <c:layout>
            <c:manualLayout>
              <c:x val="2.2222222222222119E-2"/>
              <c:y val="-2.777777777777786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8970C3-10DE-4317-8D4D-E0C42768BB6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C41FC35-8F22-496C-9F40-15AAEE350A8A}"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w="19050">
            <a:solidFill>
              <a:schemeClr val="lt1"/>
            </a:solidFill>
          </a:ln>
          <a:effectLst/>
        </c:spPr>
        <c:dLbl>
          <c:idx val="0"/>
          <c:layout>
            <c:manualLayout>
              <c:x val="-0.10277777777777783"/>
              <c:y val="-4.6296296296296294E-3"/>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3E99AA38-D6DD-4FBE-8320-B99657ED7DE6}" type="CATEGORYNAME">
                  <a:rPr lang="en-US"/>
                  <a:pPr>
                    <a:defRPr sz="1000" b="0" i="0" u="none" strike="noStrike" kern="1200" baseline="0">
                      <a:solidFill>
                        <a:schemeClr val="tx1">
                          <a:lumMod val="75000"/>
                          <a:lumOff val="25000"/>
                        </a:schemeClr>
                      </a:solidFill>
                      <a:latin typeface="+mn-lt"/>
                      <a:ea typeface="+mn-ea"/>
                      <a:cs typeface="+mn-cs"/>
                    </a:defRPr>
                  </a:pPr>
                  <a:t>[CATEGORY NAME]</a:t>
                </a:fld>
                <a:r>
                  <a:rPr lang="en-US" baseline="0"/>
                  <a:t> </a:t>
                </a:r>
                <a:fld id="{7830B143-ADD1-4546-8DBA-B4A35892F8C5}" type="VALUE">
                  <a:rPr lang="en-US" b="1" baseline="0"/>
                  <a:pPr>
                    <a:defRPr sz="10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tint val="77000"/>
            </a:schemeClr>
          </a:solidFill>
          <a:ln w="19050">
            <a:solidFill>
              <a:schemeClr val="lt1"/>
            </a:solidFill>
          </a:ln>
          <a:effectLst/>
        </c:spPr>
        <c:dLbl>
          <c:idx val="0"/>
          <c:layout>
            <c:manualLayout>
              <c:x val="-3.6111111111111135E-2"/>
              <c:y val="-3.240740740740748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330FB5-6CC3-49B4-96E6-75CDFF2FAAB5}"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48F0E47F-6967-44FB-B5C9-7FDBA0FB6D8B}"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pt-B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tint val="54000"/>
            </a:schemeClr>
          </a:solidFill>
          <a:ln w="19050">
            <a:solidFill>
              <a:schemeClr val="lt1"/>
            </a:solidFill>
          </a:ln>
          <a:effectLst/>
        </c:spPr>
        <c:dLbl>
          <c:idx val="0"/>
          <c:layout>
            <c:manualLayout>
              <c:x val="-5.5555555555555558E-3"/>
              <c:y val="-2.31481481481481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E4E816-BF4E-4709-8F83-CE9268CD6A1E}"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676A159-8841-48EE-A982-63BEB0CEB5D2}"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hade val="53000"/>
            </a:schemeClr>
          </a:solidFill>
          <a:ln w="19050">
            <a:solidFill>
              <a:schemeClr val="lt1"/>
            </a:solidFill>
          </a:ln>
          <a:effectLst/>
        </c:spPr>
        <c:dLbl>
          <c:idx val="0"/>
          <c:layout>
            <c:manualLayout>
              <c:x val="1.6666666666666666E-2"/>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50C11A-BC23-42C1-B421-70F9A325717C}" type="CATEGORYNAME">
                  <a:rPr lang="en-US"/>
                  <a:pPr>
                    <a:defRPr/>
                  </a:pPr>
                  <a:t>[CATEGORY NAME]</a:t>
                </a:fld>
                <a:endParaRPr lang="en-US" baseline="0"/>
              </a:p>
              <a:p>
                <a:pPr>
                  <a:defRPr/>
                </a:pPr>
                <a:fld id="{A38C9AF0-4577-43CA-9236-EE72CA8295C8}" type="VALUE">
                  <a:rPr lang="en-US" b="1" baseline="0"/>
                  <a:pPr>
                    <a:defRPr/>
                  </a:pPr>
                  <a:t>[VALUE]</a:t>
                </a:fld>
                <a:endParaRPr lang="pt-B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shade val="76000"/>
            </a:schemeClr>
          </a:solidFill>
          <a:ln w="19050">
            <a:solidFill>
              <a:schemeClr val="lt1"/>
            </a:solidFill>
          </a:ln>
          <a:effectLst/>
        </c:spPr>
        <c:dLbl>
          <c:idx val="0"/>
          <c:layout>
            <c:manualLayout>
              <c:x val="2.2222252430932694E-2"/>
              <c:y val="-5.206139485615468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8970C3-10DE-4317-8D4D-E0C42768BB6F}" type="CATEGORYNAME">
                  <a:rPr lang="en-US"/>
                  <a:pPr>
                    <a:defRPr/>
                  </a:pPr>
                  <a:t>[CATEGORY NAME]</a:t>
                </a:fld>
                <a:r>
                  <a:rPr lang="en-US" baseline="0"/>
                  <a:t> </a:t>
                </a:r>
                <a:fld id="{BC41FC35-8F22-496C-9F40-15AAEE350A8A}" type="VALUE">
                  <a:rPr lang="en-US" b="1"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2"/>
          </a:solidFill>
          <a:ln w="19050">
            <a:solidFill>
              <a:schemeClr val="lt1"/>
            </a:solidFill>
          </a:ln>
          <a:effectLst/>
        </c:spPr>
        <c:dLbl>
          <c:idx val="0"/>
          <c:layout>
            <c:manualLayout>
              <c:x val="-6.1343378333738915E-2"/>
              <c:y val="-2.6825568267217544E-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3E99AA38-D6DD-4FBE-8320-B99657ED7DE6}" type="CATEGORYNAME">
                  <a:rPr lang="en-US"/>
                  <a:pPr>
                    <a:defRPr sz="1000"/>
                  </a:pPr>
                  <a:t>[CATEGORY NAME]</a:t>
                </a:fld>
                <a:r>
                  <a:rPr lang="en-US" baseline="0"/>
                  <a:t> </a:t>
                </a:r>
                <a:fld id="{7830B143-ADD1-4546-8DBA-B4A35892F8C5}" type="VALUE">
                  <a:rPr lang="en-US" b="1" baseline="0"/>
                  <a:pPr>
                    <a:defRPr sz="1000"/>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2">
              <a:tint val="77000"/>
            </a:schemeClr>
          </a:solidFill>
          <a:ln w="19050">
            <a:solidFill>
              <a:schemeClr val="lt1"/>
            </a:solidFill>
          </a:ln>
          <a:effectLst/>
        </c:spPr>
        <c:dLbl>
          <c:idx val="0"/>
          <c:layout>
            <c:manualLayout>
              <c:x val="1.8702514739206181E-3"/>
              <c:y val="-1.63240043152707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330FB5-6CC3-49B4-96E6-75CDFF2FAAB5}" type="CATEGORYNAME">
                  <a:rPr lang="en-US"/>
                  <a:pPr>
                    <a:defRPr/>
                  </a:pPr>
                  <a:t>[CATEGORY NAME]</a:t>
                </a:fld>
                <a:endParaRPr lang="en-US" baseline="0"/>
              </a:p>
              <a:p>
                <a:pPr>
                  <a:defRPr/>
                </a:pPr>
                <a:fld id="{48F0E47F-6967-44FB-B5C9-7FDBA0FB6D8B}" type="VALUE">
                  <a:rPr lang="en-US" b="1" baseline="0"/>
                  <a:pPr>
                    <a:defRPr/>
                  </a:pPr>
                  <a:t>[VALUE]</a:t>
                </a:fld>
                <a:endParaRPr lang="pt-B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2">
              <a:tint val="54000"/>
            </a:schemeClr>
          </a:solidFill>
          <a:ln w="19050">
            <a:solidFill>
              <a:schemeClr val="lt1"/>
            </a:solidFill>
          </a:ln>
          <a:effectLst/>
        </c:spPr>
        <c:dLbl>
          <c:idx val="0"/>
          <c:layout>
            <c:manualLayout>
              <c:x val="-8.8424097669594359E-2"/>
              <c:y val="-3.53730451983727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E4E816-BF4E-4709-8F83-CE9268CD6A1E}" type="CATEGORYNAME">
                  <a:rPr lang="en-US"/>
                  <a:pPr>
                    <a:defRPr/>
                  </a:pPr>
                  <a:t>[CATEGORY NAME]</a:t>
                </a:fld>
                <a:r>
                  <a:rPr lang="en-US" baseline="0"/>
                  <a:t> </a:t>
                </a:r>
                <a:fld id="{A676A159-8841-48EE-A982-63BEB0CEB5D2}" type="VALUE">
                  <a:rPr lang="en-US" b="1"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Analises!$S$3</c:f>
              <c:strCache>
                <c:ptCount val="1"/>
                <c:pt idx="0">
                  <c:v>Total</c:v>
                </c:pt>
              </c:strCache>
            </c:strRef>
          </c:tx>
          <c:dPt>
            <c:idx val="0"/>
            <c:bubble3D val="0"/>
            <c:explosion val="8"/>
            <c:spPr>
              <a:solidFill>
                <a:schemeClr val="accent2">
                  <a:shade val="53000"/>
                </a:schemeClr>
              </a:solidFill>
              <a:ln w="19050">
                <a:solidFill>
                  <a:schemeClr val="lt1"/>
                </a:solidFill>
              </a:ln>
              <a:effectLst/>
            </c:spPr>
            <c:extLst>
              <c:ext xmlns:c16="http://schemas.microsoft.com/office/drawing/2014/chart" uri="{C3380CC4-5D6E-409C-BE32-E72D297353CC}">
                <c16:uniqueId val="{00000001-070E-48E1-997F-23385C9D8B68}"/>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070E-48E1-997F-23385C9D8B6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70E-48E1-997F-23385C9D8B68}"/>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070E-48E1-997F-23385C9D8B68}"/>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070E-48E1-997F-23385C9D8B68}"/>
              </c:ext>
            </c:extLst>
          </c:dPt>
          <c:dLbls>
            <c:dLbl>
              <c:idx val="0"/>
              <c:layout>
                <c:manualLayout>
                  <c:x val="1.6666666666666666E-2"/>
                  <c:y val="-2.3148148148148147E-2"/>
                </c:manualLayout>
              </c:layout>
              <c:tx>
                <c:rich>
                  <a:bodyPr/>
                  <a:lstStyle/>
                  <a:p>
                    <a:fld id="{8650C11A-BC23-42C1-B421-70F9A325717C}" type="CATEGORYNAME">
                      <a:rPr lang="en-US"/>
                      <a:pPr/>
                      <a:t>[CATEGORY NAME]</a:t>
                    </a:fld>
                    <a:endParaRPr lang="en-US" baseline="0"/>
                  </a:p>
                  <a:p>
                    <a:fld id="{A38C9AF0-4577-43CA-9236-EE72CA8295C8}" type="VALUE">
                      <a:rPr lang="en-US" b="1" baseline="0"/>
                      <a:pPr/>
                      <a:t>[VALUE]</a:t>
                    </a:fld>
                    <a:endParaRPr lang="pt-B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70E-48E1-997F-23385C9D8B68}"/>
                </c:ext>
              </c:extLst>
            </c:dLbl>
            <c:dLbl>
              <c:idx val="1"/>
              <c:layout>
                <c:manualLayout>
                  <c:x val="2.2222252430932694E-2"/>
                  <c:y val="-5.2061394856154682E-3"/>
                </c:manualLayout>
              </c:layout>
              <c:tx>
                <c:rich>
                  <a:bodyPr/>
                  <a:lstStyle/>
                  <a:p>
                    <a:fld id="{F68970C3-10DE-4317-8D4D-E0C42768BB6F}" type="CATEGORYNAME">
                      <a:rPr lang="en-US"/>
                      <a:pPr/>
                      <a:t>[CATEGORY NAME]</a:t>
                    </a:fld>
                    <a:r>
                      <a:rPr lang="en-US" baseline="0"/>
                      <a:t> </a:t>
                    </a:r>
                    <a:fld id="{BC41FC35-8F22-496C-9F40-15AAEE350A8A}" type="VALUE">
                      <a:rPr lang="en-US" b="1"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70E-48E1-997F-23385C9D8B68}"/>
                </c:ext>
              </c:extLst>
            </c:dLbl>
            <c:dLbl>
              <c:idx val="2"/>
              <c:layout>
                <c:manualLayout>
                  <c:x val="-6.1343378333738915E-2"/>
                  <c:y val="-2.6825568267217544E-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3E99AA38-D6DD-4FBE-8320-B99657ED7DE6}" type="CATEGORYNAME">
                      <a:rPr lang="en-US"/>
                      <a:pPr>
                        <a:defRPr sz="1000"/>
                      </a:pPr>
                      <a:t>[CATEGORY NAME]</a:t>
                    </a:fld>
                    <a:r>
                      <a:rPr lang="en-US" baseline="0"/>
                      <a:t> </a:t>
                    </a:r>
                    <a:fld id="{7830B143-ADD1-4546-8DBA-B4A35892F8C5}" type="VALUE">
                      <a:rPr lang="en-US" b="1" baseline="0"/>
                      <a:pPr>
                        <a:defRPr sz="1000"/>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70E-48E1-997F-23385C9D8B68}"/>
                </c:ext>
              </c:extLst>
            </c:dLbl>
            <c:dLbl>
              <c:idx val="3"/>
              <c:layout>
                <c:manualLayout>
                  <c:x val="1.8702514739206181E-3"/>
                  <c:y val="-1.6324004315270743E-2"/>
                </c:manualLayout>
              </c:layout>
              <c:tx>
                <c:rich>
                  <a:bodyPr/>
                  <a:lstStyle/>
                  <a:p>
                    <a:fld id="{2C330FB5-6CC3-49B4-96E6-75CDFF2FAAB5}" type="CATEGORYNAME">
                      <a:rPr lang="en-US"/>
                      <a:pPr/>
                      <a:t>[CATEGORY NAME]</a:t>
                    </a:fld>
                    <a:endParaRPr lang="en-US" baseline="0"/>
                  </a:p>
                  <a:p>
                    <a:fld id="{48F0E47F-6967-44FB-B5C9-7FDBA0FB6D8B}" type="VALUE">
                      <a:rPr lang="en-US" b="1" baseline="0"/>
                      <a:pPr/>
                      <a:t>[VALUE]</a:t>
                    </a:fld>
                    <a:endParaRPr lang="pt-B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70E-48E1-997F-23385C9D8B68}"/>
                </c:ext>
              </c:extLst>
            </c:dLbl>
            <c:dLbl>
              <c:idx val="4"/>
              <c:layout>
                <c:manualLayout>
                  <c:x val="-8.8424097669594359E-2"/>
                  <c:y val="-3.5373045198372706E-2"/>
                </c:manualLayout>
              </c:layout>
              <c:tx>
                <c:rich>
                  <a:bodyPr/>
                  <a:lstStyle/>
                  <a:p>
                    <a:fld id="{DDE4E816-BF4E-4709-8F83-CE9268CD6A1E}" type="CATEGORYNAME">
                      <a:rPr lang="en-US"/>
                      <a:pPr/>
                      <a:t>[CATEGORY NAME]</a:t>
                    </a:fld>
                    <a:r>
                      <a:rPr lang="en-US" baseline="0"/>
                      <a:t> </a:t>
                    </a:r>
                    <a:fld id="{A676A159-8841-48EE-A982-63BEB0CEB5D2}" type="VALUE">
                      <a:rPr lang="en-US" b="1"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70E-48E1-997F-23385C9D8B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Analises!$R$4:$R$9</c:f>
              <c:strCache>
                <c:ptCount val="5"/>
                <c:pt idx="0">
                  <c:v>Terceiros</c:v>
                </c:pt>
                <c:pt idx="1">
                  <c:v>Manutencao</c:v>
                </c:pt>
                <c:pt idx="2">
                  <c:v>Logistica</c:v>
                </c:pt>
                <c:pt idx="3">
                  <c:v>Energia</c:v>
                </c:pt>
                <c:pt idx="4">
                  <c:v>Mao_de_Obra</c:v>
                </c:pt>
              </c:strCache>
            </c:strRef>
          </c:cat>
          <c:val>
            <c:numRef>
              <c:f>Analises!$S$4:$S$9</c:f>
              <c:numCache>
                <c:formatCode>0.00%</c:formatCode>
                <c:ptCount val="5"/>
                <c:pt idx="0">
                  <c:v>0.20872335542491186</c:v>
                </c:pt>
                <c:pt idx="1">
                  <c:v>0.2077395767076779</c:v>
                </c:pt>
                <c:pt idx="2">
                  <c:v>0.20321601972298536</c:v>
                </c:pt>
                <c:pt idx="3">
                  <c:v>0.1976470077351293</c:v>
                </c:pt>
                <c:pt idx="4">
                  <c:v>0.18267404040929558</c:v>
                </c:pt>
              </c:numCache>
            </c:numRef>
          </c:val>
          <c:extLst>
            <c:ext xmlns:c16="http://schemas.microsoft.com/office/drawing/2014/chart" uri="{C3380CC4-5D6E-409C-BE32-E72D297353CC}">
              <c16:uniqueId val="{0000000A-070E-48E1-997F-23385C9D8B68}"/>
            </c:ext>
          </c:extLst>
        </c:ser>
        <c:dLbls>
          <c:dLblPos val="ctr"/>
          <c:showLegendKey val="0"/>
          <c:showVal val="1"/>
          <c:showCatName val="0"/>
          <c:showSerName val="0"/>
          <c:showPercent val="0"/>
          <c:showBubbleSize val="0"/>
          <c:showLeaderLines val="1"/>
        </c:dLbls>
        <c:firstSliceAng val="21"/>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[analise_operacional_industrial.xlsx]Analises!Paradas Operacionais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Paradas</a:t>
            </a:r>
            <a:r>
              <a:rPr lang="pt-BR" baseline="0"/>
              <a:t> Operacionais (Horas)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22225">
              <a:solidFill>
                <a:schemeClr val="accent2"/>
              </a:solidFill>
            </a:ln>
            <a:effectLst/>
          </c:spPr>
        </c:marker>
        <c:dLbl>
          <c:idx val="0"/>
          <c:spPr>
            <a:gradFill>
              <a:gsLst>
                <a:gs pos="0">
                  <a:srgbClr val="F26018">
                    <a:alpha val="10000"/>
                  </a:srgbClr>
                </a:gs>
                <a:gs pos="100000">
                  <a:schemeClr val="bg1"/>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Analises!$V$3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Analises!$U$4:$U$10</c:f>
              <c:strCache>
                <c:ptCount val="6"/>
                <c:pt idx="0">
                  <c:v>Clima Offshore</c:v>
                </c:pt>
                <c:pt idx="1">
                  <c:v>Falha Eletrica</c:v>
                </c:pt>
                <c:pt idx="2">
                  <c:v>Falha Mecanica</c:v>
                </c:pt>
                <c:pt idx="3">
                  <c:v>Falta de Insumo</c:v>
                </c:pt>
                <c:pt idx="4">
                  <c:v>Manutencao Corretiva</c:v>
                </c:pt>
                <c:pt idx="5">
                  <c:v>Manutencao Preventiva</c:v>
                </c:pt>
              </c:strCache>
            </c:strRef>
          </c:cat>
          <c:val>
            <c:numRef>
              <c:f>Analises!$V$4:$V$10</c:f>
              <c:numCache>
                <c:formatCode>General</c:formatCode>
                <c:ptCount val="6"/>
                <c:pt idx="0">
                  <c:v>122.8</c:v>
                </c:pt>
                <c:pt idx="1">
                  <c:v>105</c:v>
                </c:pt>
                <c:pt idx="2">
                  <c:v>100.5</c:v>
                </c:pt>
                <c:pt idx="3">
                  <c:v>117.8</c:v>
                </c:pt>
                <c:pt idx="4">
                  <c:v>106.5</c:v>
                </c:pt>
                <c:pt idx="5">
                  <c:v>127.4</c:v>
                </c:pt>
              </c:numCache>
            </c:numRef>
          </c:val>
          <c:smooth val="0"/>
          <c:extLst>
            <c:ext xmlns:c16="http://schemas.microsoft.com/office/drawing/2014/chart" uri="{C3380CC4-5D6E-409C-BE32-E72D297353CC}">
              <c16:uniqueId val="{0000000C-4CD6-4FB5-A6C3-66B4CDB4F194}"/>
            </c:ext>
          </c:extLst>
        </c:ser>
        <c:dLbls>
          <c:dLblPos val="b"/>
          <c:showLegendKey val="0"/>
          <c:showVal val="1"/>
          <c:showCatName val="0"/>
          <c:showSerName val="0"/>
          <c:showPercent val="0"/>
          <c:showBubbleSize val="0"/>
        </c:dLbls>
        <c:marker val="1"/>
        <c:smooth val="0"/>
        <c:axId val="1306514175"/>
        <c:axId val="1306516095"/>
      </c:lineChart>
      <c:catAx>
        <c:axId val="130651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6516095"/>
        <c:crosses val="autoZero"/>
        <c:auto val="1"/>
        <c:lblAlgn val="ctr"/>
        <c:lblOffset val="100"/>
        <c:noMultiLvlLbl val="0"/>
      </c:catAx>
      <c:valAx>
        <c:axId val="1306516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0651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35718</xdr:colOff>
      <xdr:row>3</xdr:row>
      <xdr:rowOff>121771</xdr:rowOff>
    </xdr:from>
    <xdr:to>
      <xdr:col>29</xdr:col>
      <xdr:colOff>83341</xdr:colOff>
      <xdr:row>35</xdr:row>
      <xdr:rowOff>168044</xdr:rowOff>
    </xdr:to>
    <xdr:sp macro="" textlink="">
      <xdr:nvSpPr>
        <xdr:cNvPr id="4" name="Rectangle: Top Corners Rounded 3">
          <a:extLst>
            <a:ext uri="{FF2B5EF4-FFF2-40B4-BE49-F238E27FC236}">
              <a16:creationId xmlns:a16="http://schemas.microsoft.com/office/drawing/2014/main" id="{7658B7BF-2C15-A600-0E11-826278A0738E}"/>
            </a:ext>
          </a:extLst>
        </xdr:cNvPr>
        <xdr:cNvSpPr/>
      </xdr:nvSpPr>
      <xdr:spPr>
        <a:xfrm rot="10800000">
          <a:off x="35718" y="693271"/>
          <a:ext cx="17656967" cy="6219664"/>
        </a:xfrm>
        <a:prstGeom prst="round2SameRect">
          <a:avLst>
            <a:gd name="adj1" fmla="val 3517"/>
            <a:gd name="adj2" fmla="val 0"/>
          </a:avLst>
        </a:prstGeom>
        <a:solidFill>
          <a:srgbClr val="FFF8F0"/>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38100</xdr:colOff>
      <xdr:row>0</xdr:row>
      <xdr:rowOff>47624</xdr:rowOff>
    </xdr:from>
    <xdr:to>
      <xdr:col>29</xdr:col>
      <xdr:colOff>85725</xdr:colOff>
      <xdr:row>4</xdr:row>
      <xdr:rowOff>4082</xdr:rowOff>
    </xdr:to>
    <xdr:sp macro="" textlink="">
      <xdr:nvSpPr>
        <xdr:cNvPr id="2" name="Rectangle: Top Corners Rounded 1">
          <a:extLst>
            <a:ext uri="{FF2B5EF4-FFF2-40B4-BE49-F238E27FC236}">
              <a16:creationId xmlns:a16="http://schemas.microsoft.com/office/drawing/2014/main" id="{7E4D9AE6-5A5D-B168-A465-A99D46F1CB29}"/>
            </a:ext>
          </a:extLst>
        </xdr:cNvPr>
        <xdr:cNvSpPr/>
      </xdr:nvSpPr>
      <xdr:spPr>
        <a:xfrm>
          <a:off x="38100" y="47624"/>
          <a:ext cx="17726025" cy="794658"/>
        </a:xfrm>
        <a:prstGeom prst="round2SameRect">
          <a:avLst/>
        </a:prstGeom>
        <a:gradFill>
          <a:gsLst>
            <a:gs pos="0">
              <a:srgbClr val="4D1D04"/>
            </a:gs>
            <a:gs pos="50000">
              <a:srgbClr val="602406"/>
            </a:gs>
            <a:gs pos="100000">
              <a:srgbClr val="9A3909"/>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3200">
              <a:latin typeface="Bahnschrift" panose="020B0502040204020203" pitchFamily="34" charset="0"/>
            </a:rPr>
            <a:t>Dashboard Operacional – Análise Industrial</a:t>
          </a:r>
        </a:p>
      </xdr:txBody>
    </xdr:sp>
    <xdr:clientData/>
  </xdr:twoCellAnchor>
  <xdr:twoCellAnchor>
    <xdr:from>
      <xdr:col>7</xdr:col>
      <xdr:colOff>152400</xdr:colOff>
      <xdr:row>4</xdr:row>
      <xdr:rowOff>66675</xdr:rowOff>
    </xdr:from>
    <xdr:to>
      <xdr:col>9</xdr:col>
      <xdr:colOff>466725</xdr:colOff>
      <xdr:row>6</xdr:row>
      <xdr:rowOff>38100</xdr:rowOff>
    </xdr:to>
    <xdr:sp macro="" textlink="">
      <xdr:nvSpPr>
        <xdr:cNvPr id="6" name="Rectangle: Top Corners Rounded 5">
          <a:extLst>
            <a:ext uri="{FF2B5EF4-FFF2-40B4-BE49-F238E27FC236}">
              <a16:creationId xmlns:a16="http://schemas.microsoft.com/office/drawing/2014/main" id="{EA623241-266A-1B87-E9B5-5138DBB27B45}"/>
            </a:ext>
          </a:extLst>
        </xdr:cNvPr>
        <xdr:cNvSpPr/>
      </xdr:nvSpPr>
      <xdr:spPr>
        <a:xfrm>
          <a:off x="4419600" y="904875"/>
          <a:ext cx="1533525" cy="352425"/>
        </a:xfrm>
        <a:prstGeom prst="round2SameRect">
          <a:avLst>
            <a:gd name="adj1" fmla="val 43786"/>
            <a:gd name="adj2" fmla="val 0"/>
          </a:avLst>
        </a:prstGeom>
        <a:solidFill>
          <a:srgbClr val="F26018"/>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600">
              <a:solidFill>
                <a:schemeClr val="bg1"/>
              </a:solidFill>
            </a:rPr>
            <a:t>Produção</a:t>
          </a:r>
          <a:r>
            <a:rPr lang="pt-BR" sz="1600" baseline="0">
              <a:solidFill>
                <a:schemeClr val="bg1"/>
              </a:solidFill>
            </a:rPr>
            <a:t> Total</a:t>
          </a:r>
          <a:endParaRPr lang="pt-BR" sz="1600">
            <a:solidFill>
              <a:schemeClr val="bg1"/>
            </a:solidFill>
          </a:endParaRPr>
        </a:p>
      </xdr:txBody>
    </xdr:sp>
    <xdr:clientData/>
  </xdr:twoCellAnchor>
  <xdr:twoCellAnchor>
    <xdr:from>
      <xdr:col>7</xdr:col>
      <xdr:colOff>152399</xdr:colOff>
      <xdr:row>6</xdr:row>
      <xdr:rowOff>34017</xdr:rowOff>
    </xdr:from>
    <xdr:to>
      <xdr:col>9</xdr:col>
      <xdr:colOff>466724</xdr:colOff>
      <xdr:row>8</xdr:row>
      <xdr:rowOff>180974</xdr:rowOff>
    </xdr:to>
    <xdr:sp macro="" textlink="cuost">
      <xdr:nvSpPr>
        <xdr:cNvPr id="7" name="Rectangle 6">
          <a:extLst>
            <a:ext uri="{FF2B5EF4-FFF2-40B4-BE49-F238E27FC236}">
              <a16:creationId xmlns:a16="http://schemas.microsoft.com/office/drawing/2014/main" id="{89DE5593-29FF-6EA9-A165-4B11332A1132}"/>
            </a:ext>
          </a:extLst>
        </xdr:cNvPr>
        <xdr:cNvSpPr/>
      </xdr:nvSpPr>
      <xdr:spPr>
        <a:xfrm>
          <a:off x="4419599" y="1253217"/>
          <a:ext cx="1533525" cy="527957"/>
        </a:xfrm>
        <a:prstGeom prst="rect">
          <a:avLst/>
        </a:prstGeom>
        <a:solidFill>
          <a:srgbClr val="C1480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45445B-B988-40C8-9FA1-08911C51E68B}" type="TxLink">
            <a:rPr lang="en-US" sz="2000" b="0" i="0" u="none" strike="noStrike">
              <a:solidFill>
                <a:schemeClr val="bg1"/>
              </a:solidFill>
              <a:latin typeface="Arial Black" panose="020B0A04020102020204" pitchFamily="34" charset="0"/>
              <a:ea typeface="Calibri"/>
              <a:cs typeface="Calibri"/>
            </a:rPr>
            <a:pPr algn="ctr"/>
            <a:t> 275,371 </a:t>
          </a:fld>
          <a:endParaRPr lang="pt-BR" sz="2000">
            <a:solidFill>
              <a:schemeClr val="bg1"/>
            </a:solidFill>
            <a:latin typeface="Arial Black" panose="020B0A04020102020204" pitchFamily="34" charset="0"/>
          </a:endParaRPr>
        </a:p>
      </xdr:txBody>
    </xdr:sp>
    <xdr:clientData/>
  </xdr:twoCellAnchor>
  <xdr:twoCellAnchor>
    <xdr:from>
      <xdr:col>10</xdr:col>
      <xdr:colOff>133350</xdr:colOff>
      <xdr:row>22</xdr:row>
      <xdr:rowOff>38100</xdr:rowOff>
    </xdr:from>
    <xdr:to>
      <xdr:col>24</xdr:col>
      <xdr:colOff>590549</xdr:colOff>
      <xdr:row>35</xdr:row>
      <xdr:rowOff>135024</xdr:rowOff>
    </xdr:to>
    <xdr:graphicFrame macro="">
      <xdr:nvGraphicFramePr>
        <xdr:cNvPr id="15" name="Chart 14">
          <a:extLst>
            <a:ext uri="{FF2B5EF4-FFF2-40B4-BE49-F238E27FC236}">
              <a16:creationId xmlns:a16="http://schemas.microsoft.com/office/drawing/2014/main" id="{170D6D9F-AB52-4246-A45D-A5F6FEBE9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137078</xdr:colOff>
      <xdr:row>9</xdr:row>
      <xdr:rowOff>133350</xdr:rowOff>
    </xdr:from>
    <xdr:to>
      <xdr:col>15</xdr:col>
      <xdr:colOff>247650</xdr:colOff>
      <xdr:row>21</xdr:row>
      <xdr:rowOff>171449</xdr:rowOff>
    </xdr:to>
    <xdr:graphicFrame macro="">
      <xdr:nvGraphicFramePr>
        <xdr:cNvPr id="18" name="Chart 17">
          <a:extLst>
            <a:ext uri="{FF2B5EF4-FFF2-40B4-BE49-F238E27FC236}">
              <a16:creationId xmlns:a16="http://schemas.microsoft.com/office/drawing/2014/main" id="{B4DBCEE8-AC69-4787-9BFD-D8EBC09D9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180966</xdr:colOff>
      <xdr:row>4</xdr:row>
      <xdr:rowOff>73471</xdr:rowOff>
    </xdr:from>
    <xdr:to>
      <xdr:col>12</xdr:col>
      <xdr:colOff>495291</xdr:colOff>
      <xdr:row>6</xdr:row>
      <xdr:rowOff>44896</xdr:rowOff>
    </xdr:to>
    <xdr:sp macro="" textlink="">
      <xdr:nvSpPr>
        <xdr:cNvPr id="3" name="Rectangle: Top Corners Rounded 2">
          <a:extLst>
            <a:ext uri="{FF2B5EF4-FFF2-40B4-BE49-F238E27FC236}">
              <a16:creationId xmlns:a16="http://schemas.microsoft.com/office/drawing/2014/main" id="{A7669245-2D08-4352-974A-5ADE729D4D77}"/>
            </a:ext>
          </a:extLst>
        </xdr:cNvPr>
        <xdr:cNvSpPr/>
      </xdr:nvSpPr>
      <xdr:spPr>
        <a:xfrm>
          <a:off x="6276966" y="911671"/>
          <a:ext cx="1533525" cy="352425"/>
        </a:xfrm>
        <a:prstGeom prst="round2SameRect">
          <a:avLst>
            <a:gd name="adj1" fmla="val 43786"/>
            <a:gd name="adj2" fmla="val 0"/>
          </a:avLst>
        </a:prstGeom>
        <a:solidFill>
          <a:srgbClr val="F26018"/>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400">
              <a:solidFill>
                <a:schemeClr val="bg1"/>
              </a:solidFill>
            </a:rPr>
            <a:t>Prod.</a:t>
          </a:r>
          <a:r>
            <a:rPr lang="pt-BR" sz="1400" baseline="0">
              <a:solidFill>
                <a:schemeClr val="bg1"/>
              </a:solidFill>
            </a:rPr>
            <a:t> Planejada</a:t>
          </a:r>
          <a:endParaRPr lang="pt-BR" sz="1400">
            <a:solidFill>
              <a:schemeClr val="bg1"/>
            </a:solidFill>
          </a:endParaRPr>
        </a:p>
      </xdr:txBody>
    </xdr:sp>
    <xdr:clientData/>
  </xdr:twoCellAnchor>
  <xdr:twoCellAnchor>
    <xdr:from>
      <xdr:col>10</xdr:col>
      <xdr:colOff>180965</xdr:colOff>
      <xdr:row>6</xdr:row>
      <xdr:rowOff>40813</xdr:rowOff>
    </xdr:from>
    <xdr:to>
      <xdr:col>12</xdr:col>
      <xdr:colOff>495290</xdr:colOff>
      <xdr:row>8</xdr:row>
      <xdr:rowOff>187770</xdr:rowOff>
    </xdr:to>
    <xdr:sp macro="" textlink="producao_planejada">
      <xdr:nvSpPr>
        <xdr:cNvPr id="5" name="Rectangle 4">
          <a:extLst>
            <a:ext uri="{FF2B5EF4-FFF2-40B4-BE49-F238E27FC236}">
              <a16:creationId xmlns:a16="http://schemas.microsoft.com/office/drawing/2014/main" id="{47A84782-DCC4-4F5C-9E3B-63678E55B6B7}"/>
            </a:ext>
          </a:extLst>
        </xdr:cNvPr>
        <xdr:cNvSpPr/>
      </xdr:nvSpPr>
      <xdr:spPr>
        <a:xfrm>
          <a:off x="6276965" y="1260013"/>
          <a:ext cx="1533525" cy="527957"/>
        </a:xfrm>
        <a:prstGeom prst="rect">
          <a:avLst/>
        </a:prstGeom>
        <a:solidFill>
          <a:srgbClr val="C1480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0D3C02B-1321-4508-875C-C4F1C0BF66A6}" type="TxLink">
            <a:rPr lang="en-US" sz="2000" b="0" i="0" u="none" strike="noStrike">
              <a:solidFill>
                <a:schemeClr val="bg1"/>
              </a:solidFill>
              <a:latin typeface="Arial Black" panose="020B0A04020102020204" pitchFamily="34" charset="0"/>
              <a:ea typeface="Calibri"/>
              <a:cs typeface="Calibri"/>
            </a:rPr>
            <a:pPr marL="0" indent="0" algn="ctr"/>
            <a:t> 329,400 </a:t>
          </a:fld>
          <a:endParaRPr lang="pt-BR" sz="20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13</xdr:col>
      <xdr:colOff>257166</xdr:colOff>
      <xdr:row>4</xdr:row>
      <xdr:rowOff>73471</xdr:rowOff>
    </xdr:from>
    <xdr:to>
      <xdr:col>15</xdr:col>
      <xdr:colOff>571491</xdr:colOff>
      <xdr:row>6</xdr:row>
      <xdr:rowOff>44896</xdr:rowOff>
    </xdr:to>
    <xdr:sp macro="" textlink="">
      <xdr:nvSpPr>
        <xdr:cNvPr id="14" name="Rectangle: Top Corners Rounded 13">
          <a:extLst>
            <a:ext uri="{FF2B5EF4-FFF2-40B4-BE49-F238E27FC236}">
              <a16:creationId xmlns:a16="http://schemas.microsoft.com/office/drawing/2014/main" id="{E6D32F6C-D8C6-4B98-9A69-E23456FD2FD0}"/>
            </a:ext>
          </a:extLst>
        </xdr:cNvPr>
        <xdr:cNvSpPr/>
      </xdr:nvSpPr>
      <xdr:spPr>
        <a:xfrm>
          <a:off x="8181966" y="911671"/>
          <a:ext cx="1533525" cy="352425"/>
        </a:xfrm>
        <a:prstGeom prst="round2SameRect">
          <a:avLst>
            <a:gd name="adj1" fmla="val 43786"/>
            <a:gd name="adj2" fmla="val 0"/>
          </a:avLst>
        </a:prstGeom>
        <a:solidFill>
          <a:srgbClr val="F26018"/>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600">
              <a:solidFill>
                <a:schemeClr val="bg1"/>
              </a:solidFill>
            </a:rPr>
            <a:t>Custo</a:t>
          </a:r>
          <a:r>
            <a:rPr lang="pt-BR" sz="1600" baseline="0">
              <a:solidFill>
                <a:schemeClr val="bg1"/>
              </a:solidFill>
            </a:rPr>
            <a:t> Total</a:t>
          </a:r>
          <a:endParaRPr lang="pt-BR" sz="1600">
            <a:solidFill>
              <a:schemeClr val="bg1"/>
            </a:solidFill>
          </a:endParaRPr>
        </a:p>
      </xdr:txBody>
    </xdr:sp>
    <xdr:clientData/>
  </xdr:twoCellAnchor>
  <xdr:twoCellAnchor>
    <xdr:from>
      <xdr:col>13</xdr:col>
      <xdr:colOff>257165</xdr:colOff>
      <xdr:row>6</xdr:row>
      <xdr:rowOff>40813</xdr:rowOff>
    </xdr:from>
    <xdr:to>
      <xdr:col>15</xdr:col>
      <xdr:colOff>571490</xdr:colOff>
      <xdr:row>8</xdr:row>
      <xdr:rowOff>187770</xdr:rowOff>
    </xdr:to>
    <xdr:sp macro="" textlink="cost_total">
      <xdr:nvSpPr>
        <xdr:cNvPr id="16" name="Rectangle 15">
          <a:extLst>
            <a:ext uri="{FF2B5EF4-FFF2-40B4-BE49-F238E27FC236}">
              <a16:creationId xmlns:a16="http://schemas.microsoft.com/office/drawing/2014/main" id="{8F3330D9-1573-4A36-AFD6-EDB155190E65}"/>
            </a:ext>
          </a:extLst>
        </xdr:cNvPr>
        <xdr:cNvSpPr/>
      </xdr:nvSpPr>
      <xdr:spPr>
        <a:xfrm>
          <a:off x="8181965" y="1260013"/>
          <a:ext cx="1533525" cy="527957"/>
        </a:xfrm>
        <a:prstGeom prst="rect">
          <a:avLst/>
        </a:prstGeom>
        <a:solidFill>
          <a:srgbClr val="C1480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E5E09C-1691-41DC-98B4-21FE3C1A4809}" type="TxLink">
            <a:rPr lang="en-US" sz="1400" b="0" i="0" u="none" strike="noStrike">
              <a:solidFill>
                <a:schemeClr val="bg1"/>
              </a:solidFill>
              <a:latin typeface="Arial Black" panose="020B0A04020102020204" pitchFamily="34" charset="0"/>
              <a:ea typeface="Calibri"/>
              <a:cs typeface="Calibri"/>
            </a:rPr>
            <a:pPr algn="ctr"/>
            <a:t> R$ 9,533,648 </a:t>
          </a:fld>
          <a:endParaRPr lang="pt-BR" sz="14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16</xdr:col>
      <xdr:colOff>276216</xdr:colOff>
      <xdr:row>4</xdr:row>
      <xdr:rowOff>82996</xdr:rowOff>
    </xdr:from>
    <xdr:to>
      <xdr:col>18</xdr:col>
      <xdr:colOff>590541</xdr:colOff>
      <xdr:row>6</xdr:row>
      <xdr:rowOff>54421</xdr:rowOff>
    </xdr:to>
    <xdr:sp macro="" textlink="">
      <xdr:nvSpPr>
        <xdr:cNvPr id="17" name="Rectangle: Top Corners Rounded 16">
          <a:extLst>
            <a:ext uri="{FF2B5EF4-FFF2-40B4-BE49-F238E27FC236}">
              <a16:creationId xmlns:a16="http://schemas.microsoft.com/office/drawing/2014/main" id="{B1E645EB-058B-4903-B509-179A85E8C113}"/>
            </a:ext>
          </a:extLst>
        </xdr:cNvPr>
        <xdr:cNvSpPr/>
      </xdr:nvSpPr>
      <xdr:spPr>
        <a:xfrm>
          <a:off x="10029816" y="921196"/>
          <a:ext cx="1533525" cy="352425"/>
        </a:xfrm>
        <a:prstGeom prst="round2SameRect">
          <a:avLst>
            <a:gd name="adj1" fmla="val 43786"/>
            <a:gd name="adj2" fmla="val 0"/>
          </a:avLst>
        </a:prstGeom>
        <a:solidFill>
          <a:srgbClr val="F26018"/>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600" baseline="0">
              <a:solidFill>
                <a:schemeClr val="bg1"/>
              </a:solidFill>
            </a:rPr>
            <a:t>Custo Unidade</a:t>
          </a:r>
          <a:endParaRPr lang="pt-BR" sz="1600">
            <a:solidFill>
              <a:schemeClr val="bg1"/>
            </a:solidFill>
          </a:endParaRPr>
        </a:p>
      </xdr:txBody>
    </xdr:sp>
    <xdr:clientData/>
  </xdr:twoCellAnchor>
  <xdr:twoCellAnchor>
    <xdr:from>
      <xdr:col>16</xdr:col>
      <xdr:colOff>276215</xdr:colOff>
      <xdr:row>6</xdr:row>
      <xdr:rowOff>50338</xdr:rowOff>
    </xdr:from>
    <xdr:to>
      <xdr:col>18</xdr:col>
      <xdr:colOff>590540</xdr:colOff>
      <xdr:row>9</xdr:row>
      <xdr:rowOff>6795</xdr:rowOff>
    </xdr:to>
    <xdr:sp macro="" textlink="custo_por_unidade">
      <xdr:nvSpPr>
        <xdr:cNvPr id="19" name="Rectangle 18">
          <a:extLst>
            <a:ext uri="{FF2B5EF4-FFF2-40B4-BE49-F238E27FC236}">
              <a16:creationId xmlns:a16="http://schemas.microsoft.com/office/drawing/2014/main" id="{BB4096FD-D4DA-407A-95D2-90847A3A8CA3}"/>
            </a:ext>
          </a:extLst>
        </xdr:cNvPr>
        <xdr:cNvSpPr/>
      </xdr:nvSpPr>
      <xdr:spPr>
        <a:xfrm>
          <a:off x="10029815" y="1269538"/>
          <a:ext cx="1533525" cy="527957"/>
        </a:xfrm>
        <a:prstGeom prst="rect">
          <a:avLst/>
        </a:prstGeom>
        <a:solidFill>
          <a:srgbClr val="C1480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6F971F-E1C4-4A5E-B1AF-86CA1F09EBBB}" type="TxLink">
            <a:rPr lang="en-US" sz="1800" b="0" i="0" u="none" strike="noStrike">
              <a:solidFill>
                <a:schemeClr val="bg1"/>
              </a:solidFill>
              <a:latin typeface="Arial Black" panose="020B0A04020102020204" pitchFamily="34" charset="0"/>
              <a:ea typeface="Calibri"/>
              <a:cs typeface="Calibri"/>
            </a:rPr>
            <a:pPr algn="ctr"/>
            <a:t> R$ 34.62 </a:t>
          </a:fld>
          <a:endParaRPr lang="pt-BR" sz="18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15</xdr:col>
      <xdr:colOff>304788</xdr:colOff>
      <xdr:row>9</xdr:row>
      <xdr:rowOff>142876</xdr:rowOff>
    </xdr:from>
    <xdr:to>
      <xdr:col>24</xdr:col>
      <xdr:colOff>609599</xdr:colOff>
      <xdr:row>21</xdr:row>
      <xdr:rowOff>156210</xdr:rowOff>
    </xdr:to>
    <xdr:graphicFrame macro="">
      <xdr:nvGraphicFramePr>
        <xdr:cNvPr id="8" name="Chart 7">
          <a:extLst>
            <a:ext uri="{FF2B5EF4-FFF2-40B4-BE49-F238E27FC236}">
              <a16:creationId xmlns:a16="http://schemas.microsoft.com/office/drawing/2014/main" id="{EFB03203-3CA5-4AC5-A368-DCA8E11B0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20411</xdr:colOff>
      <xdr:row>9</xdr:row>
      <xdr:rowOff>142875</xdr:rowOff>
    </xdr:from>
    <xdr:to>
      <xdr:col>10</xdr:col>
      <xdr:colOff>40926</xdr:colOff>
      <xdr:row>21</xdr:row>
      <xdr:rowOff>174162</xdr:rowOff>
    </xdr:to>
    <xdr:graphicFrame macro="">
      <xdr:nvGraphicFramePr>
        <xdr:cNvPr id="9" name="Chart 8">
          <a:extLst>
            <a:ext uri="{FF2B5EF4-FFF2-40B4-BE49-F238E27FC236}">
              <a16:creationId xmlns:a16="http://schemas.microsoft.com/office/drawing/2014/main" id="{EC6BFF30-6C45-4EF3-9743-2DAA69999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600074</xdr:colOff>
      <xdr:row>22</xdr:row>
      <xdr:rowOff>38100</xdr:rowOff>
    </xdr:from>
    <xdr:to>
      <xdr:col>10</xdr:col>
      <xdr:colOff>38099</xdr:colOff>
      <xdr:row>35</xdr:row>
      <xdr:rowOff>59861</xdr:rowOff>
    </xdr:to>
    <xdr:graphicFrame macro="">
      <xdr:nvGraphicFramePr>
        <xdr:cNvPr id="10" name="Chart 9">
          <a:extLst>
            <a:ext uri="{FF2B5EF4-FFF2-40B4-BE49-F238E27FC236}">
              <a16:creationId xmlns:a16="http://schemas.microsoft.com/office/drawing/2014/main" id="{B57216D9-B736-4B22-AE3B-879A9B1CC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171450</xdr:colOff>
      <xdr:row>7</xdr:row>
      <xdr:rowOff>66675</xdr:rowOff>
    </xdr:from>
    <xdr:to>
      <xdr:col>3</xdr:col>
      <xdr:colOff>523875</xdr:colOff>
      <xdr:row>26</xdr:row>
      <xdr:rowOff>19051</xdr:rowOff>
    </xdr:to>
    <mc:AlternateContent xmlns:mc="http://schemas.openxmlformats.org/markup-compatibility/2006" xmlns:a14="http://schemas.microsoft.com/office/drawing/2010/main">
      <mc:Choice Requires="a14">
        <xdr:graphicFrame macro="">
          <xdr:nvGraphicFramePr>
            <xdr:cNvPr id="11" name="Month_Abb">
              <a:extLst>
                <a:ext uri="{FF2B5EF4-FFF2-40B4-BE49-F238E27FC236}">
                  <a16:creationId xmlns:a16="http://schemas.microsoft.com/office/drawing/2014/main" id="{75E641B7-4492-C619-BF1A-93EA39653536}"/>
                </a:ext>
              </a:extLst>
            </xdr:cNvPr>
            <xdr:cNvGraphicFramePr/>
          </xdr:nvGraphicFramePr>
          <xdr:xfrm>
            <a:off x="0" y="0"/>
            <a:ext cx="0" cy="0"/>
          </xdr:xfrm>
          <a:graphic>
            <a:graphicData uri="http://schemas.microsoft.com/office/drawing/2010/slicer">
              <sle:slicer xmlns:sle="http://schemas.microsoft.com/office/drawing/2010/slicer" name="Month_Abb"/>
            </a:graphicData>
          </a:graphic>
        </xdr:graphicFrame>
      </mc:Choice>
      <mc:Fallback xmlns="">
        <xdr:sp macro="" textlink="">
          <xdr:nvSpPr>
            <xdr:cNvPr id="0" name=""/>
            <xdr:cNvSpPr>
              <a:spLocks noTextEdit="1"/>
            </xdr:cNvSpPr>
          </xdr:nvSpPr>
          <xdr:spPr>
            <a:xfrm>
              <a:off x="171450" y="1474258"/>
              <a:ext cx="2193925" cy="3571876"/>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190499</xdr:colOff>
      <xdr:row>8</xdr:row>
      <xdr:rowOff>38100</xdr:rowOff>
    </xdr:from>
    <xdr:to>
      <xdr:col>28</xdr:col>
      <xdr:colOff>504824</xdr:colOff>
      <xdr:row>23</xdr:row>
      <xdr:rowOff>0</xdr:rowOff>
    </xdr:to>
    <mc:AlternateContent xmlns:mc="http://schemas.openxmlformats.org/markup-compatibility/2006" xmlns:a14="http://schemas.microsoft.com/office/drawing/2010/main">
      <mc:Choice Requires="a14">
        <xdr:graphicFrame macro="">
          <xdr:nvGraphicFramePr>
            <xdr:cNvPr id="13" name="Tipo_Custo">
              <a:extLst>
                <a:ext uri="{FF2B5EF4-FFF2-40B4-BE49-F238E27FC236}">
                  <a16:creationId xmlns:a16="http://schemas.microsoft.com/office/drawing/2014/main" id="{91F5004C-9D2A-ABC0-DC21-1E5AF80FD030}"/>
                </a:ext>
              </a:extLst>
            </xdr:cNvPr>
            <xdr:cNvGraphicFramePr/>
          </xdr:nvGraphicFramePr>
          <xdr:xfrm>
            <a:off x="0" y="0"/>
            <a:ext cx="0" cy="0"/>
          </xdr:xfrm>
          <a:graphic>
            <a:graphicData uri="http://schemas.microsoft.com/office/drawing/2010/slicer">
              <sle:slicer xmlns:sle="http://schemas.microsoft.com/office/drawing/2010/slicer" name="Tipo_Custo"/>
            </a:graphicData>
          </a:graphic>
        </xdr:graphicFrame>
      </mc:Choice>
      <mc:Fallback xmlns="">
        <xdr:sp macro="" textlink="">
          <xdr:nvSpPr>
            <xdr:cNvPr id="0" name=""/>
            <xdr:cNvSpPr>
              <a:spLocks noTextEdit="1"/>
            </xdr:cNvSpPr>
          </xdr:nvSpPr>
          <xdr:spPr>
            <a:xfrm>
              <a:off x="15536332" y="1636183"/>
              <a:ext cx="2155825" cy="28194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161925</xdr:colOff>
      <xdr:row>26</xdr:row>
      <xdr:rowOff>133350</xdr:rowOff>
    </xdr:from>
    <xdr:to>
      <xdr:col>3</xdr:col>
      <xdr:colOff>523874</xdr:colOff>
      <xdr:row>32</xdr:row>
      <xdr:rowOff>161925</xdr:rowOff>
    </xdr:to>
    <mc:AlternateContent xmlns:mc="http://schemas.openxmlformats.org/markup-compatibility/2006" xmlns:a14="http://schemas.microsoft.com/office/drawing/2010/main">
      <mc:Choice Requires="a14">
        <xdr:graphicFrame macro="">
          <xdr:nvGraphicFramePr>
            <xdr:cNvPr id="31" name="Linha">
              <a:extLst>
                <a:ext uri="{FF2B5EF4-FFF2-40B4-BE49-F238E27FC236}">
                  <a16:creationId xmlns:a16="http://schemas.microsoft.com/office/drawing/2014/main" id="{1A20C83D-579D-73F0-35AE-D8D241CDBEA5}"/>
                </a:ext>
              </a:extLst>
            </xdr:cNvPr>
            <xdr:cNvGraphicFramePr/>
          </xdr:nvGraphicFramePr>
          <xdr:xfrm>
            <a:off x="0" y="0"/>
            <a:ext cx="0" cy="0"/>
          </xdr:xfrm>
          <a:graphic>
            <a:graphicData uri="http://schemas.microsoft.com/office/drawing/2010/slicer">
              <sle:slicer xmlns:sle="http://schemas.microsoft.com/office/drawing/2010/slicer" name="Linha"/>
            </a:graphicData>
          </a:graphic>
        </xdr:graphicFrame>
      </mc:Choice>
      <mc:Fallback xmlns="">
        <xdr:sp macro="" textlink="">
          <xdr:nvSpPr>
            <xdr:cNvPr id="0" name=""/>
            <xdr:cNvSpPr>
              <a:spLocks noTextEdit="1"/>
            </xdr:cNvSpPr>
          </xdr:nvSpPr>
          <xdr:spPr>
            <a:xfrm>
              <a:off x="161925" y="5160433"/>
              <a:ext cx="2203449" cy="117157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19</xdr:col>
      <xdr:colOff>276225</xdr:colOff>
      <xdr:row>4</xdr:row>
      <xdr:rowOff>88434</xdr:rowOff>
    </xdr:from>
    <xdr:to>
      <xdr:col>21</xdr:col>
      <xdr:colOff>590550</xdr:colOff>
      <xdr:row>6</xdr:row>
      <xdr:rowOff>59859</xdr:rowOff>
    </xdr:to>
    <xdr:sp macro="" textlink="">
      <xdr:nvSpPr>
        <xdr:cNvPr id="33" name="Rectangle: Top Corners Rounded 32">
          <a:extLst>
            <a:ext uri="{FF2B5EF4-FFF2-40B4-BE49-F238E27FC236}">
              <a16:creationId xmlns:a16="http://schemas.microsoft.com/office/drawing/2014/main" id="{C9A812CF-AC20-4D10-89DD-AEE76759EDDD}"/>
            </a:ext>
          </a:extLst>
        </xdr:cNvPr>
        <xdr:cNvSpPr/>
      </xdr:nvSpPr>
      <xdr:spPr>
        <a:xfrm>
          <a:off x="11858625" y="926634"/>
          <a:ext cx="1533525" cy="352425"/>
        </a:xfrm>
        <a:prstGeom prst="round2SameRect">
          <a:avLst>
            <a:gd name="adj1" fmla="val 43786"/>
            <a:gd name="adj2" fmla="val 0"/>
          </a:avLst>
        </a:prstGeom>
        <a:solidFill>
          <a:srgbClr val="F26018"/>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600">
              <a:solidFill>
                <a:schemeClr val="bg1"/>
              </a:solidFill>
            </a:rPr>
            <a:t>Ef.</a:t>
          </a:r>
          <a:r>
            <a:rPr lang="pt-BR" sz="1600" baseline="0">
              <a:solidFill>
                <a:schemeClr val="bg1"/>
              </a:solidFill>
            </a:rPr>
            <a:t> Operacional</a:t>
          </a:r>
          <a:endParaRPr lang="pt-BR" sz="1600">
            <a:solidFill>
              <a:schemeClr val="bg1"/>
            </a:solidFill>
          </a:endParaRPr>
        </a:p>
      </xdr:txBody>
    </xdr:sp>
    <xdr:clientData/>
  </xdr:twoCellAnchor>
  <xdr:twoCellAnchor>
    <xdr:from>
      <xdr:col>19</xdr:col>
      <xdr:colOff>276224</xdr:colOff>
      <xdr:row>6</xdr:row>
      <xdr:rowOff>55776</xdr:rowOff>
    </xdr:from>
    <xdr:to>
      <xdr:col>21</xdr:col>
      <xdr:colOff>590549</xdr:colOff>
      <xdr:row>9</xdr:row>
      <xdr:rowOff>12233</xdr:rowOff>
    </xdr:to>
    <xdr:sp macro="" textlink="op_ef">
      <xdr:nvSpPr>
        <xdr:cNvPr id="34" name="Rectangle 33">
          <a:extLst>
            <a:ext uri="{FF2B5EF4-FFF2-40B4-BE49-F238E27FC236}">
              <a16:creationId xmlns:a16="http://schemas.microsoft.com/office/drawing/2014/main" id="{88D184D0-DB14-4E23-97FC-01BC461C3EAF}"/>
            </a:ext>
          </a:extLst>
        </xdr:cNvPr>
        <xdr:cNvSpPr/>
      </xdr:nvSpPr>
      <xdr:spPr>
        <a:xfrm>
          <a:off x="11858624" y="1274976"/>
          <a:ext cx="1533525" cy="527957"/>
        </a:xfrm>
        <a:prstGeom prst="rect">
          <a:avLst/>
        </a:prstGeom>
        <a:solidFill>
          <a:srgbClr val="C1480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A6C71BC-54FB-4E49-8893-84FCB4184153}" type="TxLink">
            <a:rPr lang="en-US" sz="1800" b="0" i="0" u="none" strike="noStrike">
              <a:solidFill>
                <a:schemeClr val="bg1"/>
              </a:solidFill>
              <a:latin typeface="Arial Black" panose="020B0A04020102020204" pitchFamily="34" charset="0"/>
              <a:ea typeface="Calibri"/>
              <a:cs typeface="Calibri"/>
            </a:rPr>
            <a:pPr marL="0" indent="0" algn="ctr"/>
            <a:t>83.60%</a:t>
          </a:fld>
          <a:endParaRPr lang="pt-BR" sz="1800" b="0" i="0" u="none" strike="noStrike">
            <a:solidFill>
              <a:schemeClr val="bg1"/>
            </a:solidFill>
            <a:latin typeface="Arial Black" panose="020B0A04020102020204" pitchFamily="34" charset="0"/>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os" refreshedDate="46023.740037731484" backgroundQuery="1" createdVersion="8" refreshedVersion="8" minRefreshableVersion="3" recordCount="0" supportSubquery="1" supportAdvancedDrill="1" xr:uid="{E16AD79F-4D25-4EAA-8245-8AD22460CA18}">
  <cacheSource type="external" connectionId="5"/>
  <cacheFields count="4">
    <cacheField name="[custos_12_meses].[Tipo_Custo].[Tipo_Custo]" caption="Tipo_Custo" numFmtId="0" hierarchy="5" level="1">
      <sharedItems count="5">
        <s v="Energia"/>
        <s v="Logistica"/>
        <s v="Manutencao"/>
        <s v="Mao_de_Obra"/>
        <s v="Terceiros"/>
      </sharedItems>
    </cacheField>
    <cacheField name="[Measures].[Sum of Valor]" caption="Sum of Valor" numFmtId="0" hierarchy="19" level="32767"/>
    <cacheField name="[paradas_12_meses].[Tipo_Parada].[Tipo_Parada]" caption="Tipo_Parada" numFmtId="0" hierarchy="10" level="1">
      <sharedItems containsSemiMixedTypes="0" containsNonDate="0" containsString="0"/>
    </cacheField>
    <cacheField name="[Calendar].[Month_Abb].[Month_Abb]" caption="Month_Abb" numFmtId="0" hierarchy="2"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Month_Abb]" caption="Month_Abb" attribute="1" time="1" defaultMemberUniqueName="[Calendar].[Month_Abb].[All]" allUniqueName="[Calendar].[Month_Abb].[All]" dimensionUniqueName="[Calendar]" displayFolder="" count="2" memberValueDatatype="130" unbalanced="0">
      <fieldsUsage count="2">
        <fieldUsage x="-1"/>
        <fieldUsage x="3"/>
      </fieldsUsage>
    </cacheHierarchy>
    <cacheHierarchy uniqueName="[custos_12_meses].[Data]" caption="Data" attribute="1" time="1" defaultMemberUniqueName="[custos_12_meses].[Data].[All]" allUniqueName="[custos_12_meses].[Data].[All]" dimensionUniqueName="[custos_12_meses]" displayFolder="" count="0" memberValueDatatype="7" unbalanced="0"/>
    <cacheHierarchy uniqueName="[custos_12_meses].[Unidade]" caption="Unidade" attribute="1" defaultMemberUniqueName="[custos_12_meses].[Unidade].[All]" allUniqueName="[custos_12_meses].[Unidade].[All]" dimensionUniqueName="[custos_12_meses]" displayFolder="" count="0" memberValueDatatype="130" unbalanced="0"/>
    <cacheHierarchy uniqueName="[custos_12_meses].[Tipo_Custo]" caption="Tipo_Custo" attribute="1" defaultMemberUniqueName="[custos_12_meses].[Tipo_Custo].[All]" allUniqueName="[custos_12_meses].[Tipo_Custo].[All]" dimensionUniqueName="[custos_12_meses]" displayFolder="" count="2" memberValueDatatype="130" unbalanced="0">
      <fieldsUsage count="2">
        <fieldUsage x="-1"/>
        <fieldUsage x="0"/>
      </fieldsUsage>
    </cacheHierarchy>
    <cacheHierarchy uniqueName="[custos_12_meses].[Valor]" caption="Valor" attribute="1" defaultMemberUniqueName="[custos_12_meses].[Valor].[All]" allUniqueName="[custos_12_meses].[Valor].[All]" dimensionUniqueName="[custos_12_meses]" displayFolder="" count="0" memberValueDatatype="20" unbalanced="0"/>
    <cacheHierarchy uniqueName="[paradas_12_meses].[Data]" caption="Data" attribute="1" time="1" defaultMemberUniqueName="[paradas_12_meses].[Data].[All]" allUniqueName="[paradas_12_meses].[Data].[All]" dimensionUniqueName="[paradas_12_meses]" displayFolder="" count="0" memberValueDatatype="7" unbalanced="0"/>
    <cacheHierarchy uniqueName="[paradas_12_meses].[Unidade]" caption="Unidade" attribute="1" defaultMemberUniqueName="[paradas_12_meses].[Unidade].[All]" allUniqueName="[paradas_12_meses].[Unidade].[All]" dimensionUniqueName="[paradas_12_meses]" displayFolder="" count="0" memberValueDatatype="130" unbalanced="0"/>
    <cacheHierarchy uniqueName="[paradas_12_meses].[Linha]" caption="Linha" attribute="1" defaultMemberUniqueName="[paradas_12_meses].[Linha].[All]" allUniqueName="[paradas_12_meses].[Linha].[All]" dimensionUniqueName="[paradas_12_meses]" displayFolder="" count="0" memberValueDatatype="130" unbalanced="0"/>
    <cacheHierarchy uniqueName="[paradas_12_meses].[Tipo_Parada]" caption="Tipo_Parada" attribute="1" defaultMemberUniqueName="[paradas_12_meses].[Tipo_Parada].[All]" allUniqueName="[paradas_12_meses].[Tipo_Parada].[All]" dimensionUniqueName="[paradas_12_meses]" displayFolder="" count="2" memberValueDatatype="130" unbalanced="0">
      <fieldsUsage count="2">
        <fieldUsage x="-1"/>
        <fieldUsage x="2"/>
      </fieldsUsage>
    </cacheHierarchy>
    <cacheHierarchy uniqueName="[paradas_12_meses].[Duracao_Horas]" caption="Duracao_Horas" attribute="1" defaultMemberUniqueName="[paradas_12_meses].[Duracao_Horas].[All]" allUniqueName="[paradas_12_meses].[Duracao_Horas].[All]" dimensionUniqueName="[paradas_12_meses]" displayFolder="" count="0" memberValueDatatype="5" unbalanced="0"/>
    <cacheHierarchy uniqueName="[producao_12_meses].[Data]" caption="Data" attribute="1" time="1" defaultMemberUniqueName="[producao_12_meses].[Data].[All]" allUniqueName="[producao_12_meses].[Data].[All]" dimensionUniqueName="[producao_12_meses]" displayFolder="" count="0" memberValueDatatype="7" unbalanced="0"/>
    <cacheHierarchy uniqueName="[producao_12_meses].[Unidade]" caption="Unidade" attribute="1" defaultMemberUniqueName="[producao_12_meses].[Unidade].[All]" allUniqueName="[producao_12_meses].[Unidade].[All]" dimensionUniqueName="[producao_12_meses]" displayFolder="" count="0" memberValueDatatype="130" unbalanced="0"/>
    <cacheHierarchy uniqueName="[producao_12_meses].[Linha]" caption="Linha" attribute="1" defaultMemberUniqueName="[producao_12_meses].[Linha].[All]" allUniqueName="[producao_12_meses].[Linha].[All]" dimensionUniqueName="[producao_12_meses]" displayFolder="" count="0" memberValueDatatype="130" unbalanced="0"/>
    <cacheHierarchy uniqueName="[producao_12_meses].[Turno]" caption="Turno" attribute="1" defaultMemberUniqueName="[producao_12_meses].[Turno].[All]" allUniqueName="[producao_12_meses].[Turno].[All]" dimensionUniqueName="[producao_12_meses]" displayFolder="" count="0" memberValueDatatype="130" unbalanced="0"/>
    <cacheHierarchy uniqueName="[producao_12_meses].[Producao_Planejada]" caption="Producao_Planejada" attribute="1" defaultMemberUniqueName="[producao_12_meses].[Producao_Planejada].[All]" allUniqueName="[producao_12_meses].[Producao_Planejada].[All]" dimensionUniqueName="[producao_12_meses]" displayFolder="" count="0" memberValueDatatype="20" unbalanced="0"/>
    <cacheHierarchy uniqueName="[producao_12_meses].[Producao_Real]" caption="Producao_Real" attribute="1" defaultMemberUniqueName="[producao_12_meses].[Producao_Real].[All]" allUniqueName="[producao_12_meses].[Producao_Real].[All]" dimensionUniqueName="[producao_12_meses]" displayFolder="" count="0" memberValueDatatype="20" unbalanced="0"/>
    <cacheHierarchy uniqueName="[Measures].[Sum of Producao_Real]" caption="Sum of Producao_Real" measure="1" displayFolder="" measureGroup="producao_12_meses" count="0">
      <extLst>
        <ext xmlns:x15="http://schemas.microsoft.com/office/spreadsheetml/2010/11/main" uri="{B97F6D7D-B522-45F9-BDA1-12C45D357490}">
          <x15:cacheHierarchy aggregatedColumn="17"/>
        </ext>
      </extLst>
    </cacheHierarchy>
    <cacheHierarchy uniqueName="[Measures].[Sum of Valor]" caption="Sum of Valor" measure="1" displayFolder="" measureGroup="custos_12_meses" count="0" oneField="1">
      <fieldsUsage count="1">
        <fieldUsage x="1"/>
      </fieldsUsage>
      <extLst>
        <ext xmlns:x15="http://schemas.microsoft.com/office/spreadsheetml/2010/11/main" uri="{B97F6D7D-B522-45F9-BDA1-12C45D357490}">
          <x15:cacheHierarchy aggregatedColumn="6"/>
        </ext>
      </extLst>
    </cacheHierarchy>
    <cacheHierarchy uniqueName="[Measures].[Sum of Producao_Planejada]" caption="Sum of Producao_Planejada" measure="1" displayFolder="" measureGroup="producao_12_meses" count="0">
      <extLst>
        <ext xmlns:x15="http://schemas.microsoft.com/office/spreadsheetml/2010/11/main" uri="{B97F6D7D-B522-45F9-BDA1-12C45D357490}">
          <x15:cacheHierarchy aggregatedColumn="16"/>
        </ext>
      </extLst>
    </cacheHierarchy>
    <cacheHierarchy uniqueName="[Measures].[Sum of Duracao_Horas]" caption="Sum of Duracao_Horas" measure="1" displayFolder="" measureGroup="paradas_12_meses" count="0">
      <extLst>
        <ext xmlns:x15="http://schemas.microsoft.com/office/spreadsheetml/2010/11/main" uri="{B97F6D7D-B522-45F9-BDA1-12C45D357490}">
          <x15:cacheHierarchy aggregatedColumn="11"/>
        </ext>
      </extLst>
    </cacheHierarchy>
    <cacheHierarchy uniqueName="[Measures].[Count of Tipo_Parada]" caption="Count of Tipo_Parada" measure="1" displayFolder="" measureGroup="paradas_12_meses" count="0">
      <extLst>
        <ext xmlns:x15="http://schemas.microsoft.com/office/spreadsheetml/2010/11/main" uri="{B97F6D7D-B522-45F9-BDA1-12C45D357490}">
          <x15:cacheHierarchy aggregatedColumn="10"/>
        </ext>
      </extLst>
    </cacheHierarchy>
    <cacheHierarchy uniqueName="[Measures].[Custo Por Unidade]" caption="Custo Por Unidade" measure="1" displayFolder="" measureGroup="custos_12_meses" count="0"/>
    <cacheHierarchy uniqueName="[Measures].[Eficiência Operacional]" caption="Eficiência Operacional" measure="1" displayFolder="" measureGroup="producao_12_meses" count="0"/>
    <cacheHierarchy uniqueName="[Measures].[__XL_Count custos_12_meses]" caption="__XL_Count custos_12_meses" measure="1" displayFolder="" measureGroup="custos_12_meses" count="0" hidden="1"/>
    <cacheHierarchy uniqueName="[Measures].[__XL_Count paradas_12_meses]" caption="__XL_Count paradas_12_meses" measure="1" displayFolder="" measureGroup="paradas_12_meses" count="0" hidden="1"/>
    <cacheHierarchy uniqueName="[Measures].[__XL_Count producao_12_meses]" caption="__XL_Count producao_12_meses" measure="1" displayFolder="" measureGroup="producao_12_me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s_12_meses" uniqueName="[custos_12_meses]" caption="custos_12_meses"/>
    <dimension measure="1" name="Measures" uniqueName="[Measures]" caption="Measures"/>
    <dimension name="paradas_12_meses" uniqueName="[paradas_12_meses]" caption="paradas_12_meses"/>
    <dimension name="producao_12_meses" uniqueName="[producao_12_meses]" caption="producao_12_meses"/>
  </dimensions>
  <measureGroups count="4">
    <measureGroup name="Calendar" caption="Calendar"/>
    <measureGroup name="custos_12_meses" caption="custos_12_meses"/>
    <measureGroup name="paradas_12_meses" caption="paradas_12_meses"/>
    <measureGroup name="producao_12_meses" caption="producao_12_meses"/>
  </measureGroups>
  <maps count="7">
    <map measureGroup="0" dimension="0"/>
    <map measureGroup="1" dimension="0"/>
    <map measureGroup="1" dimension="1"/>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os" refreshedDate="46023.759992708336" backgroundQuery="1" createdVersion="8" refreshedVersion="8" minRefreshableVersion="3" recordCount="0" supportSubquery="1" supportAdvancedDrill="1" xr:uid="{3C1EFD45-7DE2-4159-A8A2-FDFAC9F80294}">
  <cacheSource type="external" connectionId="5"/>
  <cacheFields count="4">
    <cacheField name="[Calendar].[Month_Abb].[Month_Abb]" caption="Month_Abb" numFmtId="0" hierarchy="2" level="1">
      <sharedItems count="12">
        <s v="Apr"/>
        <s v="Aug"/>
        <s v="Dec"/>
        <s v="Feb"/>
        <s v="Jan"/>
        <s v="Jul"/>
        <s v="Jun"/>
        <s v="Mar"/>
        <s v="May"/>
        <s v="Nov"/>
        <s v="Oct"/>
        <s v="Sep"/>
      </sharedItems>
    </cacheField>
    <cacheField name="[Measures].[Sum of Valor]" caption="Sum of Valor" numFmtId="0" hierarchy="19" level="32767"/>
    <cacheField name="[paradas_12_meses].[Tipo_Parada].[Tipo_Parada]" caption="Tipo_Parada" numFmtId="0" hierarchy="10" level="1">
      <sharedItems containsSemiMixedTypes="0" containsNonDate="0" containsString="0"/>
    </cacheField>
    <cacheField name="[custos_12_meses].[Tipo_Custo].[Tipo_Custo]" caption="Tipo_Custo" numFmtId="0" hierarchy="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Month_Abb]" caption="Month_Abb" attribute="1" time="1" defaultMemberUniqueName="[Calendar].[Month_Abb].[All]" allUniqueName="[Calendar].[Month_Abb].[All]" dimensionUniqueName="[Calendar]" displayFolder="" count="2" memberValueDatatype="130" unbalanced="0">
      <fieldsUsage count="2">
        <fieldUsage x="-1"/>
        <fieldUsage x="0"/>
      </fieldsUsage>
    </cacheHierarchy>
    <cacheHierarchy uniqueName="[custos_12_meses].[Data]" caption="Data" attribute="1" time="1" defaultMemberUniqueName="[custos_12_meses].[Data].[All]" allUniqueName="[custos_12_meses].[Data].[All]" dimensionUniqueName="[custos_12_meses]" displayFolder="" count="0" memberValueDatatype="7" unbalanced="0"/>
    <cacheHierarchy uniqueName="[custos_12_meses].[Unidade]" caption="Unidade" attribute="1" defaultMemberUniqueName="[custos_12_meses].[Unidade].[All]" allUniqueName="[custos_12_meses].[Unidade].[All]" dimensionUniqueName="[custos_12_meses]" displayFolder="" count="0" memberValueDatatype="130" unbalanced="0"/>
    <cacheHierarchy uniqueName="[custos_12_meses].[Tipo_Custo]" caption="Tipo_Custo" attribute="1" defaultMemberUniqueName="[custos_12_meses].[Tipo_Custo].[All]" allUniqueName="[custos_12_meses].[Tipo_Custo].[All]" dimensionUniqueName="[custos_12_meses]" displayFolder="" count="2" memberValueDatatype="130" unbalanced="0">
      <fieldsUsage count="2">
        <fieldUsage x="-1"/>
        <fieldUsage x="3"/>
      </fieldsUsage>
    </cacheHierarchy>
    <cacheHierarchy uniqueName="[custos_12_meses].[Valor]" caption="Valor" attribute="1" defaultMemberUniqueName="[custos_12_meses].[Valor].[All]" allUniqueName="[custos_12_meses].[Valor].[All]" dimensionUniqueName="[custos_12_meses]" displayFolder="" count="0" memberValueDatatype="20" unbalanced="0"/>
    <cacheHierarchy uniqueName="[paradas_12_meses].[Data]" caption="Data" attribute="1" time="1" defaultMemberUniqueName="[paradas_12_meses].[Data].[All]" allUniqueName="[paradas_12_meses].[Data].[All]" dimensionUniqueName="[paradas_12_meses]" displayFolder="" count="0" memberValueDatatype="7" unbalanced="0"/>
    <cacheHierarchy uniqueName="[paradas_12_meses].[Unidade]" caption="Unidade" attribute="1" defaultMemberUniqueName="[paradas_12_meses].[Unidade].[All]" allUniqueName="[paradas_12_meses].[Unidade].[All]" dimensionUniqueName="[paradas_12_meses]" displayFolder="" count="0" memberValueDatatype="130" unbalanced="0"/>
    <cacheHierarchy uniqueName="[paradas_12_meses].[Linha]" caption="Linha" attribute="1" defaultMemberUniqueName="[paradas_12_meses].[Linha].[All]" allUniqueName="[paradas_12_meses].[Linha].[All]" dimensionUniqueName="[paradas_12_meses]" displayFolder="" count="0" memberValueDatatype="130" unbalanced="0"/>
    <cacheHierarchy uniqueName="[paradas_12_meses].[Tipo_Parada]" caption="Tipo_Parada" attribute="1" defaultMemberUniqueName="[paradas_12_meses].[Tipo_Parada].[All]" allUniqueName="[paradas_12_meses].[Tipo_Parada].[All]" dimensionUniqueName="[paradas_12_meses]" displayFolder="" count="2" memberValueDatatype="130" unbalanced="0">
      <fieldsUsage count="2">
        <fieldUsage x="-1"/>
        <fieldUsage x="2"/>
      </fieldsUsage>
    </cacheHierarchy>
    <cacheHierarchy uniqueName="[paradas_12_meses].[Duracao_Horas]" caption="Duracao_Horas" attribute="1" defaultMemberUniqueName="[paradas_12_meses].[Duracao_Horas].[All]" allUniqueName="[paradas_12_meses].[Duracao_Horas].[All]" dimensionUniqueName="[paradas_12_meses]" displayFolder="" count="0" memberValueDatatype="5" unbalanced="0"/>
    <cacheHierarchy uniqueName="[producao_12_meses].[Data]" caption="Data" attribute="1" time="1" defaultMemberUniqueName="[producao_12_meses].[Data].[All]" allUniqueName="[producao_12_meses].[Data].[All]" dimensionUniqueName="[producao_12_meses]" displayFolder="" count="0" memberValueDatatype="7" unbalanced="0"/>
    <cacheHierarchy uniqueName="[producao_12_meses].[Unidade]" caption="Unidade" attribute="1" defaultMemberUniqueName="[producao_12_meses].[Unidade].[All]" allUniqueName="[producao_12_meses].[Unidade].[All]" dimensionUniqueName="[producao_12_meses]" displayFolder="" count="0" memberValueDatatype="130" unbalanced="0"/>
    <cacheHierarchy uniqueName="[producao_12_meses].[Linha]" caption="Linha" attribute="1" defaultMemberUniqueName="[producao_12_meses].[Linha].[All]" allUniqueName="[producao_12_meses].[Linha].[All]" dimensionUniqueName="[producao_12_meses]" displayFolder="" count="0" memberValueDatatype="130" unbalanced="0"/>
    <cacheHierarchy uniqueName="[producao_12_meses].[Turno]" caption="Turno" attribute="1" defaultMemberUniqueName="[producao_12_meses].[Turno].[All]" allUniqueName="[producao_12_meses].[Turno].[All]" dimensionUniqueName="[producao_12_meses]" displayFolder="" count="0" memberValueDatatype="130" unbalanced="0"/>
    <cacheHierarchy uniqueName="[producao_12_meses].[Producao_Planejada]" caption="Producao_Planejada" attribute="1" defaultMemberUniqueName="[producao_12_meses].[Producao_Planejada].[All]" allUniqueName="[producao_12_meses].[Producao_Planejada].[All]" dimensionUniqueName="[producao_12_meses]" displayFolder="" count="0" memberValueDatatype="20" unbalanced="0"/>
    <cacheHierarchy uniqueName="[producao_12_meses].[Producao_Real]" caption="Producao_Real" attribute="1" defaultMemberUniqueName="[producao_12_meses].[Producao_Real].[All]" allUniqueName="[producao_12_meses].[Producao_Real].[All]" dimensionUniqueName="[producao_12_meses]" displayFolder="" count="0" memberValueDatatype="20" unbalanced="0"/>
    <cacheHierarchy uniqueName="[Measures].[Sum of Producao_Real]" caption="Sum of Producao_Real" measure="1" displayFolder="" measureGroup="producao_12_meses" count="0">
      <extLst>
        <ext xmlns:x15="http://schemas.microsoft.com/office/spreadsheetml/2010/11/main" uri="{B97F6D7D-B522-45F9-BDA1-12C45D357490}">
          <x15:cacheHierarchy aggregatedColumn="17"/>
        </ext>
      </extLst>
    </cacheHierarchy>
    <cacheHierarchy uniqueName="[Measures].[Sum of Valor]" caption="Sum of Valor" measure="1" displayFolder="" measureGroup="custos_12_meses" count="0" oneField="1">
      <fieldsUsage count="1">
        <fieldUsage x="1"/>
      </fieldsUsage>
      <extLst>
        <ext xmlns:x15="http://schemas.microsoft.com/office/spreadsheetml/2010/11/main" uri="{B97F6D7D-B522-45F9-BDA1-12C45D357490}">
          <x15:cacheHierarchy aggregatedColumn="6"/>
        </ext>
      </extLst>
    </cacheHierarchy>
    <cacheHierarchy uniqueName="[Measures].[Sum of Producao_Planejada]" caption="Sum of Producao_Planejada" measure="1" displayFolder="" measureGroup="producao_12_meses" count="0">
      <extLst>
        <ext xmlns:x15="http://schemas.microsoft.com/office/spreadsheetml/2010/11/main" uri="{B97F6D7D-B522-45F9-BDA1-12C45D357490}">
          <x15:cacheHierarchy aggregatedColumn="16"/>
        </ext>
      </extLst>
    </cacheHierarchy>
    <cacheHierarchy uniqueName="[Measures].[Sum of Duracao_Horas]" caption="Sum of Duracao_Horas" measure="1" displayFolder="" measureGroup="paradas_12_meses" count="0">
      <extLst>
        <ext xmlns:x15="http://schemas.microsoft.com/office/spreadsheetml/2010/11/main" uri="{B97F6D7D-B522-45F9-BDA1-12C45D357490}">
          <x15:cacheHierarchy aggregatedColumn="11"/>
        </ext>
      </extLst>
    </cacheHierarchy>
    <cacheHierarchy uniqueName="[Measures].[Count of Tipo_Parada]" caption="Count of Tipo_Parada" measure="1" displayFolder="" measureGroup="paradas_12_meses" count="0">
      <extLst>
        <ext xmlns:x15="http://schemas.microsoft.com/office/spreadsheetml/2010/11/main" uri="{B97F6D7D-B522-45F9-BDA1-12C45D357490}">
          <x15:cacheHierarchy aggregatedColumn="10"/>
        </ext>
      </extLst>
    </cacheHierarchy>
    <cacheHierarchy uniqueName="[Measures].[Custo Por Unidade]" caption="Custo Por Unidade" measure="1" displayFolder="" measureGroup="custos_12_meses" count="0"/>
    <cacheHierarchy uniqueName="[Measures].[Eficiência Operacional]" caption="Eficiência Operacional" measure="1" displayFolder="" measureGroup="producao_12_meses" count="0"/>
    <cacheHierarchy uniqueName="[Measures].[__XL_Count custos_12_meses]" caption="__XL_Count custos_12_meses" measure="1" displayFolder="" measureGroup="custos_12_meses" count="0" hidden="1"/>
    <cacheHierarchy uniqueName="[Measures].[__XL_Count paradas_12_meses]" caption="__XL_Count paradas_12_meses" measure="1" displayFolder="" measureGroup="paradas_12_meses" count="0" hidden="1"/>
    <cacheHierarchy uniqueName="[Measures].[__XL_Count producao_12_meses]" caption="__XL_Count producao_12_meses" measure="1" displayFolder="" measureGroup="producao_12_me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s_12_meses" uniqueName="[custos_12_meses]" caption="custos_12_meses"/>
    <dimension measure="1" name="Measures" uniqueName="[Measures]" caption="Measures"/>
    <dimension name="paradas_12_meses" uniqueName="[paradas_12_meses]" caption="paradas_12_meses"/>
    <dimension name="producao_12_meses" uniqueName="[producao_12_meses]" caption="producao_12_meses"/>
  </dimensions>
  <measureGroups count="4">
    <measureGroup name="Calendar" caption="Calendar"/>
    <measureGroup name="custos_12_meses" caption="custos_12_meses"/>
    <measureGroup name="paradas_12_meses" caption="paradas_12_meses"/>
    <measureGroup name="producao_12_meses" caption="producao_12_meses"/>
  </measureGroups>
  <maps count="7">
    <map measureGroup="0" dimension="0"/>
    <map measureGroup="1" dimension="0"/>
    <map measureGroup="1" dimension="1"/>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os" refreshedDate="46023.759993171298" backgroundQuery="1" createdVersion="8" refreshedVersion="8" minRefreshableVersion="3" recordCount="0" supportSubquery="1" supportAdvancedDrill="1" xr:uid="{23CB1599-49A6-4221-B109-DEE034F503E2}">
  <cacheSource type="external" connectionId="5"/>
  <cacheFields count="4">
    <cacheField name="[Calendar].[Month_Abb].[Month_Abb]" caption="Month_Abb" numFmtId="0" hierarchy="2" level="1">
      <sharedItems count="12">
        <s v="Apr"/>
        <s v="Aug"/>
        <s v="Dec"/>
        <s v="Feb"/>
        <s v="Jan"/>
        <s v="Jul"/>
        <s v="Jun"/>
        <s v="Mar"/>
        <s v="May"/>
        <s v="Nov"/>
        <s v="Oct"/>
        <s v="Sep"/>
      </sharedItems>
    </cacheField>
    <cacheField name="[Measures].[Sum of Producao_Real]" caption="Sum of Producao_Real" numFmtId="0" hierarchy="18" level="32767"/>
    <cacheField name="[Measures].[Custo Por Unidade]" caption="Custo Por Unidade" numFmtId="0" hierarchy="23" level="32767"/>
    <cacheField name="[custos_12_meses].[Tipo_Custo].[Tipo_Custo]" caption="Tipo_Custo" numFmtId="0" hierarchy="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Month_Abb]" caption="Month_Abb" attribute="1" time="1" defaultMemberUniqueName="[Calendar].[Month_Abb].[All]" allUniqueName="[Calendar].[Month_Abb].[All]" dimensionUniqueName="[Calendar]" displayFolder="" count="2" memberValueDatatype="130" unbalanced="0">
      <fieldsUsage count="2">
        <fieldUsage x="-1"/>
        <fieldUsage x="0"/>
      </fieldsUsage>
    </cacheHierarchy>
    <cacheHierarchy uniqueName="[custos_12_meses].[Data]" caption="Data" attribute="1" time="1" defaultMemberUniqueName="[custos_12_meses].[Data].[All]" allUniqueName="[custos_12_meses].[Data].[All]" dimensionUniqueName="[custos_12_meses]" displayFolder="" count="0" memberValueDatatype="7" unbalanced="0"/>
    <cacheHierarchy uniqueName="[custos_12_meses].[Unidade]" caption="Unidade" attribute="1" defaultMemberUniqueName="[custos_12_meses].[Unidade].[All]" allUniqueName="[custos_12_meses].[Unidade].[All]" dimensionUniqueName="[custos_12_meses]" displayFolder="" count="0" memberValueDatatype="130" unbalanced="0"/>
    <cacheHierarchy uniqueName="[custos_12_meses].[Tipo_Custo]" caption="Tipo_Custo" attribute="1" defaultMemberUniqueName="[custos_12_meses].[Tipo_Custo].[All]" allUniqueName="[custos_12_meses].[Tipo_Custo].[All]" dimensionUniqueName="[custos_12_meses]" displayFolder="" count="2" memberValueDatatype="130" unbalanced="0">
      <fieldsUsage count="2">
        <fieldUsage x="-1"/>
        <fieldUsage x="3"/>
      </fieldsUsage>
    </cacheHierarchy>
    <cacheHierarchy uniqueName="[custos_12_meses].[Valor]" caption="Valor" attribute="1" defaultMemberUniqueName="[custos_12_meses].[Valor].[All]" allUniqueName="[custos_12_meses].[Valor].[All]" dimensionUniqueName="[custos_12_meses]" displayFolder="" count="0" memberValueDatatype="20" unbalanced="0"/>
    <cacheHierarchy uniqueName="[paradas_12_meses].[Data]" caption="Data" attribute="1" time="1" defaultMemberUniqueName="[paradas_12_meses].[Data].[All]" allUniqueName="[paradas_12_meses].[Data].[All]" dimensionUniqueName="[paradas_12_meses]" displayFolder="" count="0" memberValueDatatype="7" unbalanced="0"/>
    <cacheHierarchy uniqueName="[paradas_12_meses].[Unidade]" caption="Unidade" attribute="1" defaultMemberUniqueName="[paradas_12_meses].[Unidade].[All]" allUniqueName="[paradas_12_meses].[Unidade].[All]" dimensionUniqueName="[paradas_12_meses]" displayFolder="" count="0" memberValueDatatype="130" unbalanced="0"/>
    <cacheHierarchy uniqueName="[paradas_12_meses].[Linha]" caption="Linha" attribute="1" defaultMemberUniqueName="[paradas_12_meses].[Linha].[All]" allUniqueName="[paradas_12_meses].[Linha].[All]" dimensionUniqueName="[paradas_12_meses]" displayFolder="" count="0" memberValueDatatype="130" unbalanced="0"/>
    <cacheHierarchy uniqueName="[paradas_12_meses].[Tipo_Parada]" caption="Tipo_Parada" attribute="1" defaultMemberUniqueName="[paradas_12_meses].[Tipo_Parada].[All]" allUniqueName="[paradas_12_meses].[Tipo_Parada].[All]" dimensionUniqueName="[paradas_12_meses]" displayFolder="" count="0" memberValueDatatype="130" unbalanced="0"/>
    <cacheHierarchy uniqueName="[paradas_12_meses].[Duracao_Horas]" caption="Duracao_Horas" attribute="1" defaultMemberUniqueName="[paradas_12_meses].[Duracao_Horas].[All]" allUniqueName="[paradas_12_meses].[Duracao_Horas].[All]" dimensionUniqueName="[paradas_12_meses]" displayFolder="" count="0" memberValueDatatype="5" unbalanced="0"/>
    <cacheHierarchy uniqueName="[producao_12_meses].[Data]" caption="Data" attribute="1" time="1" defaultMemberUniqueName="[producao_12_meses].[Data].[All]" allUniqueName="[producao_12_meses].[Data].[All]" dimensionUniqueName="[producao_12_meses]" displayFolder="" count="0" memberValueDatatype="7" unbalanced="0"/>
    <cacheHierarchy uniqueName="[producao_12_meses].[Unidade]" caption="Unidade" attribute="1" defaultMemberUniqueName="[producao_12_meses].[Unidade].[All]" allUniqueName="[producao_12_meses].[Unidade].[All]" dimensionUniqueName="[producao_12_meses]" displayFolder="" count="0" memberValueDatatype="130" unbalanced="0"/>
    <cacheHierarchy uniqueName="[producao_12_meses].[Linha]" caption="Linha" attribute="1" defaultMemberUniqueName="[producao_12_meses].[Linha].[All]" allUniqueName="[producao_12_meses].[Linha].[All]" dimensionUniqueName="[producao_12_meses]" displayFolder="" count="0" memberValueDatatype="130" unbalanced="0"/>
    <cacheHierarchy uniqueName="[producao_12_meses].[Turno]" caption="Turno" attribute="1" defaultMemberUniqueName="[producao_12_meses].[Turno].[All]" allUniqueName="[producao_12_meses].[Turno].[All]" dimensionUniqueName="[producao_12_meses]" displayFolder="" count="0" memberValueDatatype="130" unbalanced="0"/>
    <cacheHierarchy uniqueName="[producao_12_meses].[Producao_Planejada]" caption="Producao_Planejada" attribute="1" defaultMemberUniqueName="[producao_12_meses].[Producao_Planejada].[All]" allUniqueName="[producao_12_meses].[Producao_Planejada].[All]" dimensionUniqueName="[producao_12_meses]" displayFolder="" count="0" memberValueDatatype="20" unbalanced="0"/>
    <cacheHierarchy uniqueName="[producao_12_meses].[Producao_Real]" caption="Producao_Real" attribute="1" defaultMemberUniqueName="[producao_12_meses].[Producao_Real].[All]" allUniqueName="[producao_12_meses].[Producao_Real].[All]" dimensionUniqueName="[producao_12_meses]" displayFolder="" count="0" memberValueDatatype="20" unbalanced="0"/>
    <cacheHierarchy uniqueName="[Measures].[Sum of Producao_Real]" caption="Sum of Producao_Real" measure="1" displayFolder="" measureGroup="producao_12_meses" count="0" oneField="1">
      <fieldsUsage count="1">
        <fieldUsage x="1"/>
      </fieldsUsage>
      <extLst>
        <ext xmlns:x15="http://schemas.microsoft.com/office/spreadsheetml/2010/11/main" uri="{B97F6D7D-B522-45F9-BDA1-12C45D357490}">
          <x15:cacheHierarchy aggregatedColumn="17"/>
        </ext>
      </extLst>
    </cacheHierarchy>
    <cacheHierarchy uniqueName="[Measures].[Sum of Valor]" caption="Sum of Valor" measure="1" displayFolder="" measureGroup="custos_12_meses" count="0">
      <extLst>
        <ext xmlns:x15="http://schemas.microsoft.com/office/spreadsheetml/2010/11/main" uri="{B97F6D7D-B522-45F9-BDA1-12C45D357490}">
          <x15:cacheHierarchy aggregatedColumn="6"/>
        </ext>
      </extLst>
    </cacheHierarchy>
    <cacheHierarchy uniqueName="[Measures].[Sum of Producao_Planejada]" caption="Sum of Producao_Planejada" measure="1" displayFolder="" measureGroup="producao_12_meses" count="0">
      <extLst>
        <ext xmlns:x15="http://schemas.microsoft.com/office/spreadsheetml/2010/11/main" uri="{B97F6D7D-B522-45F9-BDA1-12C45D357490}">
          <x15:cacheHierarchy aggregatedColumn="16"/>
        </ext>
      </extLst>
    </cacheHierarchy>
    <cacheHierarchy uniqueName="[Measures].[Sum of Duracao_Horas]" caption="Sum of Duracao_Horas" measure="1" displayFolder="" measureGroup="paradas_12_meses" count="0">
      <extLst>
        <ext xmlns:x15="http://schemas.microsoft.com/office/spreadsheetml/2010/11/main" uri="{B97F6D7D-B522-45F9-BDA1-12C45D357490}">
          <x15:cacheHierarchy aggregatedColumn="11"/>
        </ext>
      </extLst>
    </cacheHierarchy>
    <cacheHierarchy uniqueName="[Measures].[Count of Tipo_Parada]" caption="Count of Tipo_Parada" measure="1" displayFolder="" measureGroup="paradas_12_meses" count="0">
      <extLst>
        <ext xmlns:x15="http://schemas.microsoft.com/office/spreadsheetml/2010/11/main" uri="{B97F6D7D-B522-45F9-BDA1-12C45D357490}">
          <x15:cacheHierarchy aggregatedColumn="10"/>
        </ext>
      </extLst>
    </cacheHierarchy>
    <cacheHierarchy uniqueName="[Measures].[Custo Por Unidade]" caption="Custo Por Unidade" measure="1" displayFolder="" measureGroup="custos_12_meses" count="0" oneField="1">
      <fieldsUsage count="1">
        <fieldUsage x="2"/>
      </fieldsUsage>
    </cacheHierarchy>
    <cacheHierarchy uniqueName="[Measures].[Eficiência Operacional]" caption="Eficiência Operacional" measure="1" displayFolder="" measureGroup="producao_12_meses" count="0"/>
    <cacheHierarchy uniqueName="[Measures].[__XL_Count custos_12_meses]" caption="__XL_Count custos_12_meses" measure="1" displayFolder="" measureGroup="custos_12_meses" count="0" hidden="1"/>
    <cacheHierarchy uniqueName="[Measures].[__XL_Count paradas_12_meses]" caption="__XL_Count paradas_12_meses" measure="1" displayFolder="" measureGroup="paradas_12_meses" count="0" hidden="1"/>
    <cacheHierarchy uniqueName="[Measures].[__XL_Count producao_12_meses]" caption="__XL_Count producao_12_meses" measure="1" displayFolder="" measureGroup="producao_12_me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s_12_meses" uniqueName="[custos_12_meses]" caption="custos_12_meses"/>
    <dimension measure="1" name="Measures" uniqueName="[Measures]" caption="Measures"/>
    <dimension name="paradas_12_meses" uniqueName="[paradas_12_meses]" caption="paradas_12_meses"/>
    <dimension name="producao_12_meses" uniqueName="[producao_12_meses]" caption="producao_12_meses"/>
  </dimensions>
  <measureGroups count="4">
    <measureGroup name="Calendar" caption="Calendar"/>
    <measureGroup name="custos_12_meses" caption="custos_12_meses"/>
    <measureGroup name="paradas_12_meses" caption="paradas_12_meses"/>
    <measureGroup name="producao_12_meses" caption="producao_12_meses"/>
  </measureGroups>
  <maps count="7">
    <map measureGroup="0" dimension="0"/>
    <map measureGroup="1" dimension="0"/>
    <map measureGroup="1" dimension="1"/>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os" refreshedDate="46023.759993634259" backgroundQuery="1" createdVersion="8" refreshedVersion="8" minRefreshableVersion="3" recordCount="0" supportSubquery="1" supportAdvancedDrill="1" xr:uid="{AFD6702D-8D88-4D5A-9F27-7214BF23BCAB}">
  <cacheSource type="external" connectionId="5"/>
  <cacheFields count="3">
    <cacheField name="[paradas_12_meses].[Tipo_Parada].[Tipo_Parada]" caption="Tipo_Parada" numFmtId="0" hierarchy="10" level="1">
      <sharedItems count="6">
        <s v="Clima Offshore"/>
        <s v="Falha Eletrica"/>
        <s v="Falha Mecanica"/>
        <s v="Falta de Insumo"/>
        <s v="Manutencao Corretiva"/>
        <s v="Manutencao Preventiva"/>
      </sharedItems>
    </cacheField>
    <cacheField name="[Measures].[Sum of Duracao_Horas]" caption="Sum of Duracao_Horas" numFmtId="0" hierarchy="21" level="32767"/>
    <cacheField name="[custos_12_meses].[Tipo_Custo].[Tipo_Custo]" caption="Tipo_Custo" numFmtId="0" hierarchy="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Month_Abb]" caption="Month_Abb" attribute="1" time="1" defaultMemberUniqueName="[Calendar].[Month_Abb].[All]" allUniqueName="[Calendar].[Month_Abb].[All]" dimensionUniqueName="[Calendar]" displayFolder="" count="2" memberValueDatatype="130" unbalanced="0"/>
    <cacheHierarchy uniqueName="[custos_12_meses].[Data]" caption="Data" attribute="1" time="1" defaultMemberUniqueName="[custos_12_meses].[Data].[All]" allUniqueName="[custos_12_meses].[Data].[All]" dimensionUniqueName="[custos_12_meses]" displayFolder="" count="0" memberValueDatatype="7" unbalanced="0"/>
    <cacheHierarchy uniqueName="[custos_12_meses].[Unidade]" caption="Unidade" attribute="1" defaultMemberUniqueName="[custos_12_meses].[Unidade].[All]" allUniqueName="[custos_12_meses].[Unidade].[All]" dimensionUniqueName="[custos_12_meses]" displayFolder="" count="0" memberValueDatatype="130" unbalanced="0"/>
    <cacheHierarchy uniqueName="[custos_12_meses].[Tipo_Custo]" caption="Tipo_Custo" attribute="1" defaultMemberUniqueName="[custos_12_meses].[Tipo_Custo].[All]" allUniqueName="[custos_12_meses].[Tipo_Custo].[All]" dimensionUniqueName="[custos_12_meses]" displayFolder="" count="2" memberValueDatatype="130" unbalanced="0">
      <fieldsUsage count="2">
        <fieldUsage x="-1"/>
        <fieldUsage x="2"/>
      </fieldsUsage>
    </cacheHierarchy>
    <cacheHierarchy uniqueName="[custos_12_meses].[Valor]" caption="Valor" attribute="1" defaultMemberUniqueName="[custos_12_meses].[Valor].[All]" allUniqueName="[custos_12_meses].[Valor].[All]" dimensionUniqueName="[custos_12_meses]" displayFolder="" count="0" memberValueDatatype="20" unbalanced="0"/>
    <cacheHierarchy uniqueName="[paradas_12_meses].[Data]" caption="Data" attribute="1" time="1" defaultMemberUniqueName="[paradas_12_meses].[Data].[All]" allUniqueName="[paradas_12_meses].[Data].[All]" dimensionUniqueName="[paradas_12_meses]" displayFolder="" count="0" memberValueDatatype="7" unbalanced="0"/>
    <cacheHierarchy uniqueName="[paradas_12_meses].[Unidade]" caption="Unidade" attribute="1" defaultMemberUniqueName="[paradas_12_meses].[Unidade].[All]" allUniqueName="[paradas_12_meses].[Unidade].[All]" dimensionUniqueName="[paradas_12_meses]" displayFolder="" count="0" memberValueDatatype="130" unbalanced="0"/>
    <cacheHierarchy uniqueName="[paradas_12_meses].[Linha]" caption="Linha" attribute="1" defaultMemberUniqueName="[paradas_12_meses].[Linha].[All]" allUniqueName="[paradas_12_meses].[Linha].[All]" dimensionUniqueName="[paradas_12_meses]" displayFolder="" count="0" memberValueDatatype="130" unbalanced="0"/>
    <cacheHierarchy uniqueName="[paradas_12_meses].[Tipo_Parada]" caption="Tipo_Parada" attribute="1" defaultMemberUniqueName="[paradas_12_meses].[Tipo_Parada].[All]" allUniqueName="[paradas_12_meses].[Tipo_Parada].[All]" dimensionUniqueName="[paradas_12_meses]" displayFolder="" count="2" memberValueDatatype="130" unbalanced="0">
      <fieldsUsage count="2">
        <fieldUsage x="-1"/>
        <fieldUsage x="0"/>
      </fieldsUsage>
    </cacheHierarchy>
    <cacheHierarchy uniqueName="[paradas_12_meses].[Duracao_Horas]" caption="Duracao_Horas" attribute="1" defaultMemberUniqueName="[paradas_12_meses].[Duracao_Horas].[All]" allUniqueName="[paradas_12_meses].[Duracao_Horas].[All]" dimensionUniqueName="[paradas_12_meses]" displayFolder="" count="0" memberValueDatatype="5" unbalanced="0"/>
    <cacheHierarchy uniqueName="[producao_12_meses].[Data]" caption="Data" attribute="1" time="1" defaultMemberUniqueName="[producao_12_meses].[Data].[All]" allUniqueName="[producao_12_meses].[Data].[All]" dimensionUniqueName="[producao_12_meses]" displayFolder="" count="0" memberValueDatatype="7" unbalanced="0"/>
    <cacheHierarchy uniqueName="[producao_12_meses].[Unidade]" caption="Unidade" attribute="1" defaultMemberUniqueName="[producao_12_meses].[Unidade].[All]" allUniqueName="[producao_12_meses].[Unidade].[All]" dimensionUniqueName="[producao_12_meses]" displayFolder="" count="0" memberValueDatatype="130" unbalanced="0"/>
    <cacheHierarchy uniqueName="[producao_12_meses].[Linha]" caption="Linha" attribute="1" defaultMemberUniqueName="[producao_12_meses].[Linha].[All]" allUniqueName="[producao_12_meses].[Linha].[All]" dimensionUniqueName="[producao_12_meses]" displayFolder="" count="0" memberValueDatatype="130" unbalanced="0"/>
    <cacheHierarchy uniqueName="[producao_12_meses].[Turno]" caption="Turno" attribute="1" defaultMemberUniqueName="[producao_12_meses].[Turno].[All]" allUniqueName="[producao_12_meses].[Turno].[All]" dimensionUniqueName="[producao_12_meses]" displayFolder="" count="0" memberValueDatatype="130" unbalanced="0"/>
    <cacheHierarchy uniqueName="[producao_12_meses].[Producao_Planejada]" caption="Producao_Planejada" attribute="1" defaultMemberUniqueName="[producao_12_meses].[Producao_Planejada].[All]" allUniqueName="[producao_12_meses].[Producao_Planejada].[All]" dimensionUniqueName="[producao_12_meses]" displayFolder="" count="0" memberValueDatatype="20" unbalanced="0"/>
    <cacheHierarchy uniqueName="[producao_12_meses].[Producao_Real]" caption="Producao_Real" attribute="1" defaultMemberUniqueName="[producao_12_meses].[Producao_Real].[All]" allUniqueName="[producao_12_meses].[Producao_Real].[All]" dimensionUniqueName="[producao_12_meses]" displayFolder="" count="0" memberValueDatatype="20" unbalanced="0"/>
    <cacheHierarchy uniqueName="[Measures].[Sum of Producao_Real]" caption="Sum of Producao_Real" measure="1" displayFolder="" measureGroup="producao_12_meses" count="0">
      <extLst>
        <ext xmlns:x15="http://schemas.microsoft.com/office/spreadsheetml/2010/11/main" uri="{B97F6D7D-B522-45F9-BDA1-12C45D357490}">
          <x15:cacheHierarchy aggregatedColumn="17"/>
        </ext>
      </extLst>
    </cacheHierarchy>
    <cacheHierarchy uniqueName="[Measures].[Sum of Valor]" caption="Sum of Valor" measure="1" displayFolder="" measureGroup="custos_12_meses" count="0">
      <extLst>
        <ext xmlns:x15="http://schemas.microsoft.com/office/spreadsheetml/2010/11/main" uri="{B97F6D7D-B522-45F9-BDA1-12C45D357490}">
          <x15:cacheHierarchy aggregatedColumn="6"/>
        </ext>
      </extLst>
    </cacheHierarchy>
    <cacheHierarchy uniqueName="[Measures].[Sum of Producao_Planejada]" caption="Sum of Producao_Planejada" measure="1" displayFolder="" measureGroup="producao_12_meses" count="0">
      <extLst>
        <ext xmlns:x15="http://schemas.microsoft.com/office/spreadsheetml/2010/11/main" uri="{B97F6D7D-B522-45F9-BDA1-12C45D357490}">
          <x15:cacheHierarchy aggregatedColumn="16"/>
        </ext>
      </extLst>
    </cacheHierarchy>
    <cacheHierarchy uniqueName="[Measures].[Sum of Duracao_Horas]" caption="Sum of Duracao_Horas" measure="1" displayFolder="" measureGroup="paradas_12_meses" count="0" oneField="1">
      <fieldsUsage count="1">
        <fieldUsage x="1"/>
      </fieldsUsage>
      <extLst>
        <ext xmlns:x15="http://schemas.microsoft.com/office/spreadsheetml/2010/11/main" uri="{B97F6D7D-B522-45F9-BDA1-12C45D357490}">
          <x15:cacheHierarchy aggregatedColumn="11"/>
        </ext>
      </extLst>
    </cacheHierarchy>
    <cacheHierarchy uniqueName="[Measures].[Count of Tipo_Parada]" caption="Count of Tipo_Parada" measure="1" displayFolder="" measureGroup="paradas_12_meses" count="0">
      <extLst>
        <ext xmlns:x15="http://schemas.microsoft.com/office/spreadsheetml/2010/11/main" uri="{B97F6D7D-B522-45F9-BDA1-12C45D357490}">
          <x15:cacheHierarchy aggregatedColumn="10"/>
        </ext>
      </extLst>
    </cacheHierarchy>
    <cacheHierarchy uniqueName="[Measures].[Custo Por Unidade]" caption="Custo Por Unidade" measure="1" displayFolder="" measureGroup="custos_12_meses" count="0"/>
    <cacheHierarchy uniqueName="[Measures].[Eficiência Operacional]" caption="Eficiência Operacional" measure="1" displayFolder="" measureGroup="producao_12_meses" count="0"/>
    <cacheHierarchy uniqueName="[Measures].[__XL_Count custos_12_meses]" caption="__XL_Count custos_12_meses" measure="1" displayFolder="" measureGroup="custos_12_meses" count="0" hidden="1"/>
    <cacheHierarchy uniqueName="[Measures].[__XL_Count paradas_12_meses]" caption="__XL_Count paradas_12_meses" measure="1" displayFolder="" measureGroup="paradas_12_meses" count="0" hidden="1"/>
    <cacheHierarchy uniqueName="[Measures].[__XL_Count producao_12_meses]" caption="__XL_Count producao_12_meses" measure="1" displayFolder="" measureGroup="producao_12_me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s_12_meses" uniqueName="[custos_12_meses]" caption="custos_12_meses"/>
    <dimension measure="1" name="Measures" uniqueName="[Measures]" caption="Measures"/>
    <dimension name="paradas_12_meses" uniqueName="[paradas_12_meses]" caption="paradas_12_meses"/>
    <dimension name="producao_12_meses" uniqueName="[producao_12_meses]" caption="producao_12_meses"/>
  </dimensions>
  <measureGroups count="4">
    <measureGroup name="Calendar" caption="Calendar"/>
    <measureGroup name="custos_12_meses" caption="custos_12_meses"/>
    <measureGroup name="paradas_12_meses" caption="paradas_12_meses"/>
    <measureGroup name="producao_12_meses" caption="producao_12_meses"/>
  </measureGroups>
  <maps count="7">
    <map measureGroup="0" dimension="0"/>
    <map measureGroup="1" dimension="0"/>
    <map measureGroup="1" dimension="1"/>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os" refreshedDate="46023.759993981483" backgroundQuery="1" createdVersion="8" refreshedVersion="8" minRefreshableVersion="3" recordCount="0" supportSubquery="1" supportAdvancedDrill="1" xr:uid="{DF053F5C-A3E0-4BAC-BA19-24E6E7AE6009}">
  <cacheSource type="external" connectionId="5"/>
  <cacheFields count="8">
    <cacheField name="[Measures].[Sum of Producao_Real]" caption="Sum of Producao_Real" numFmtId="0" hierarchy="18" level="32767"/>
    <cacheField name="[Measures].[Sum of Producao_Planejada]" caption="Sum of Producao_Planejada" numFmtId="0" hierarchy="20" level="32767"/>
    <cacheField name="[Measures].[Sum of Valor]" caption="Sum of Valor" numFmtId="0" hierarchy="19" level="32767"/>
    <cacheField name="[Measures].[Custo Por Unidade]" caption="Custo Por Unidade" numFmtId="0" hierarchy="23" level="32767"/>
    <cacheField name="[paradas_12_meses].[Tipo_Parada].[Tipo_Parada]" caption="Tipo_Parada" numFmtId="0" hierarchy="10" level="1">
      <sharedItems containsSemiMixedTypes="0" containsNonDate="0" containsString="0"/>
    </cacheField>
    <cacheField name="[paradas_12_meses].[Linha].[Linha]" caption="Linha" numFmtId="0" hierarchy="9" level="1">
      <sharedItems containsSemiMixedTypes="0" containsNonDate="0" containsString="0"/>
    </cacheField>
    <cacheField name="[Measures].[Eficiência Operacional]" caption="Eficiência Operacional" numFmtId="0" hierarchy="24" level="32767"/>
    <cacheField name="[custos_12_meses].[Tipo_Custo].[Tipo_Custo]" caption="Tipo_Custo" numFmtId="0" hierarchy="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Month_Abb]" caption="Month_Abb" attribute="1" time="1" defaultMemberUniqueName="[Calendar].[Month_Abb].[All]" allUniqueName="[Calendar].[Month_Abb].[All]" dimensionUniqueName="[Calendar]" displayFolder="" count="2" memberValueDatatype="130" unbalanced="0"/>
    <cacheHierarchy uniqueName="[custos_12_meses].[Data]" caption="Data" attribute="1" time="1" defaultMemberUniqueName="[custos_12_meses].[Data].[All]" allUniqueName="[custos_12_meses].[Data].[All]" dimensionUniqueName="[custos_12_meses]" displayFolder="" count="0" memberValueDatatype="7" unbalanced="0"/>
    <cacheHierarchy uniqueName="[custos_12_meses].[Unidade]" caption="Unidade" attribute="1" defaultMemberUniqueName="[custos_12_meses].[Unidade].[All]" allUniqueName="[custos_12_meses].[Unidade].[All]" dimensionUniqueName="[custos_12_meses]" displayFolder="" count="0" memberValueDatatype="130" unbalanced="0"/>
    <cacheHierarchy uniqueName="[custos_12_meses].[Tipo_Custo]" caption="Tipo_Custo" attribute="1" defaultMemberUniqueName="[custos_12_meses].[Tipo_Custo].[All]" allUniqueName="[custos_12_meses].[Tipo_Custo].[All]" dimensionUniqueName="[custos_12_meses]" displayFolder="" count="2" memberValueDatatype="130" unbalanced="0">
      <fieldsUsage count="2">
        <fieldUsage x="-1"/>
        <fieldUsage x="7"/>
      </fieldsUsage>
    </cacheHierarchy>
    <cacheHierarchy uniqueName="[custos_12_meses].[Valor]" caption="Valor" attribute="1" defaultMemberUniqueName="[custos_12_meses].[Valor].[All]" allUniqueName="[custos_12_meses].[Valor].[All]" dimensionUniqueName="[custos_12_meses]" displayFolder="" count="0" memberValueDatatype="20" unbalanced="0"/>
    <cacheHierarchy uniqueName="[paradas_12_meses].[Data]" caption="Data" attribute="1" time="1" defaultMemberUniqueName="[paradas_12_meses].[Data].[All]" allUniqueName="[paradas_12_meses].[Data].[All]" dimensionUniqueName="[paradas_12_meses]" displayFolder="" count="0" memberValueDatatype="7" unbalanced="0"/>
    <cacheHierarchy uniqueName="[paradas_12_meses].[Unidade]" caption="Unidade" attribute="1" defaultMemberUniqueName="[paradas_12_meses].[Unidade].[All]" allUniqueName="[paradas_12_meses].[Unidade].[All]" dimensionUniqueName="[paradas_12_meses]" displayFolder="" count="0" memberValueDatatype="130" unbalanced="0"/>
    <cacheHierarchy uniqueName="[paradas_12_meses].[Linha]" caption="Linha" attribute="1" defaultMemberUniqueName="[paradas_12_meses].[Linha].[All]" allUniqueName="[paradas_12_meses].[Linha].[All]" dimensionUniqueName="[paradas_12_meses]" displayFolder="" count="2" memberValueDatatype="130" unbalanced="0">
      <fieldsUsage count="2">
        <fieldUsage x="-1"/>
        <fieldUsage x="5"/>
      </fieldsUsage>
    </cacheHierarchy>
    <cacheHierarchy uniqueName="[paradas_12_meses].[Tipo_Parada]" caption="Tipo_Parada" attribute="1" defaultMemberUniqueName="[paradas_12_meses].[Tipo_Parada].[All]" allUniqueName="[paradas_12_meses].[Tipo_Parada].[All]" dimensionUniqueName="[paradas_12_meses]" displayFolder="" count="2" memberValueDatatype="130" unbalanced="0">
      <fieldsUsage count="2">
        <fieldUsage x="-1"/>
        <fieldUsage x="4"/>
      </fieldsUsage>
    </cacheHierarchy>
    <cacheHierarchy uniqueName="[paradas_12_meses].[Duracao_Horas]" caption="Duracao_Horas" attribute="1" defaultMemberUniqueName="[paradas_12_meses].[Duracao_Horas].[All]" allUniqueName="[paradas_12_meses].[Duracao_Horas].[All]" dimensionUniqueName="[paradas_12_meses]" displayFolder="" count="0" memberValueDatatype="5" unbalanced="0"/>
    <cacheHierarchy uniqueName="[producao_12_meses].[Data]" caption="Data" attribute="1" time="1" defaultMemberUniqueName="[producao_12_meses].[Data].[All]" allUniqueName="[producao_12_meses].[Data].[All]" dimensionUniqueName="[producao_12_meses]" displayFolder="" count="0" memberValueDatatype="7" unbalanced="0"/>
    <cacheHierarchy uniqueName="[producao_12_meses].[Unidade]" caption="Unidade" attribute="1" defaultMemberUniqueName="[producao_12_meses].[Unidade].[All]" allUniqueName="[producao_12_meses].[Unidade].[All]" dimensionUniqueName="[producao_12_meses]" displayFolder="" count="0" memberValueDatatype="130" unbalanced="0"/>
    <cacheHierarchy uniqueName="[producao_12_meses].[Linha]" caption="Linha" attribute="1" defaultMemberUniqueName="[producao_12_meses].[Linha].[All]" allUniqueName="[producao_12_meses].[Linha].[All]" dimensionUniqueName="[producao_12_meses]" displayFolder="" count="0" memberValueDatatype="130" unbalanced="0"/>
    <cacheHierarchy uniqueName="[producao_12_meses].[Turno]" caption="Turno" attribute="1" defaultMemberUniqueName="[producao_12_meses].[Turno].[All]" allUniqueName="[producao_12_meses].[Turno].[All]" dimensionUniqueName="[producao_12_meses]" displayFolder="" count="0" memberValueDatatype="130" unbalanced="0"/>
    <cacheHierarchy uniqueName="[producao_12_meses].[Producao_Planejada]" caption="Producao_Planejada" attribute="1" defaultMemberUniqueName="[producao_12_meses].[Producao_Planejada].[All]" allUniqueName="[producao_12_meses].[Producao_Planejada].[All]" dimensionUniqueName="[producao_12_meses]" displayFolder="" count="0" memberValueDatatype="20" unbalanced="0"/>
    <cacheHierarchy uniqueName="[producao_12_meses].[Producao_Real]" caption="Producao_Real" attribute="1" defaultMemberUniqueName="[producao_12_meses].[Producao_Real].[All]" allUniqueName="[producao_12_meses].[Producao_Real].[All]" dimensionUniqueName="[producao_12_meses]" displayFolder="" count="0" memberValueDatatype="20" unbalanced="0"/>
    <cacheHierarchy uniqueName="[Measures].[Sum of Producao_Real]" caption="Sum of Producao_Real" measure="1" displayFolder="" measureGroup="producao_12_meses" count="0" oneField="1">
      <fieldsUsage count="1">
        <fieldUsage x="0"/>
      </fieldsUsage>
      <extLst>
        <ext xmlns:x15="http://schemas.microsoft.com/office/spreadsheetml/2010/11/main" uri="{B97F6D7D-B522-45F9-BDA1-12C45D357490}">
          <x15:cacheHierarchy aggregatedColumn="17"/>
        </ext>
      </extLst>
    </cacheHierarchy>
    <cacheHierarchy uniqueName="[Measures].[Sum of Valor]" caption="Sum of Valor" measure="1" displayFolder="" measureGroup="custos_12_meses" count="0" oneField="1">
      <fieldsUsage count="1">
        <fieldUsage x="2"/>
      </fieldsUsage>
      <extLst>
        <ext xmlns:x15="http://schemas.microsoft.com/office/spreadsheetml/2010/11/main" uri="{B97F6D7D-B522-45F9-BDA1-12C45D357490}">
          <x15:cacheHierarchy aggregatedColumn="6"/>
        </ext>
      </extLst>
    </cacheHierarchy>
    <cacheHierarchy uniqueName="[Measures].[Sum of Producao_Planejada]" caption="Sum of Producao_Planejada" measure="1" displayFolder="" measureGroup="producao_12_meses" count="0" oneField="1">
      <fieldsUsage count="1">
        <fieldUsage x="1"/>
      </fieldsUsage>
      <extLst>
        <ext xmlns:x15="http://schemas.microsoft.com/office/spreadsheetml/2010/11/main" uri="{B97F6D7D-B522-45F9-BDA1-12C45D357490}">
          <x15:cacheHierarchy aggregatedColumn="16"/>
        </ext>
      </extLst>
    </cacheHierarchy>
    <cacheHierarchy uniqueName="[Measures].[Sum of Duracao_Horas]" caption="Sum of Duracao_Horas" measure="1" displayFolder="" measureGroup="paradas_12_meses" count="0">
      <extLst>
        <ext xmlns:x15="http://schemas.microsoft.com/office/spreadsheetml/2010/11/main" uri="{B97F6D7D-B522-45F9-BDA1-12C45D357490}">
          <x15:cacheHierarchy aggregatedColumn="11"/>
        </ext>
      </extLst>
    </cacheHierarchy>
    <cacheHierarchy uniqueName="[Measures].[Count of Tipo_Parada]" caption="Count of Tipo_Parada" measure="1" displayFolder="" measureGroup="paradas_12_meses" count="0">
      <extLst>
        <ext xmlns:x15="http://schemas.microsoft.com/office/spreadsheetml/2010/11/main" uri="{B97F6D7D-B522-45F9-BDA1-12C45D357490}">
          <x15:cacheHierarchy aggregatedColumn="10"/>
        </ext>
      </extLst>
    </cacheHierarchy>
    <cacheHierarchy uniqueName="[Measures].[Custo Por Unidade]" caption="Custo Por Unidade" measure="1" displayFolder="" measureGroup="custos_12_meses" count="0" oneField="1">
      <fieldsUsage count="1">
        <fieldUsage x="3"/>
      </fieldsUsage>
    </cacheHierarchy>
    <cacheHierarchy uniqueName="[Measures].[Eficiência Operacional]" caption="Eficiência Operacional" measure="1" displayFolder="" measureGroup="producao_12_meses" count="0" oneField="1">
      <fieldsUsage count="1">
        <fieldUsage x="6"/>
      </fieldsUsage>
    </cacheHierarchy>
    <cacheHierarchy uniqueName="[Measures].[__XL_Count custos_12_meses]" caption="__XL_Count custos_12_meses" measure="1" displayFolder="" measureGroup="custos_12_meses" count="0" hidden="1"/>
    <cacheHierarchy uniqueName="[Measures].[__XL_Count paradas_12_meses]" caption="__XL_Count paradas_12_meses" measure="1" displayFolder="" measureGroup="paradas_12_meses" count="0" hidden="1"/>
    <cacheHierarchy uniqueName="[Measures].[__XL_Count producao_12_meses]" caption="__XL_Count producao_12_meses" measure="1" displayFolder="" measureGroup="producao_12_me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s_12_meses" uniqueName="[custos_12_meses]" caption="custos_12_meses"/>
    <dimension measure="1" name="Measures" uniqueName="[Measures]" caption="Measures"/>
    <dimension name="paradas_12_meses" uniqueName="[paradas_12_meses]" caption="paradas_12_meses"/>
    <dimension name="producao_12_meses" uniqueName="[producao_12_meses]" caption="producao_12_meses"/>
  </dimensions>
  <measureGroups count="4">
    <measureGroup name="Calendar" caption="Calendar"/>
    <measureGroup name="custos_12_meses" caption="custos_12_meses"/>
    <measureGroup name="paradas_12_meses" caption="paradas_12_meses"/>
    <measureGroup name="producao_12_meses" caption="producao_12_meses"/>
  </measureGroups>
  <maps count="7">
    <map measureGroup="0" dimension="0"/>
    <map measureGroup="1" dimension="0"/>
    <map measureGroup="1" dimension="1"/>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os" refreshedDate="46023.759994444445" backgroundQuery="1" createdVersion="8" refreshedVersion="8" minRefreshableVersion="3" recordCount="0" supportSubquery="1" supportAdvancedDrill="1" xr:uid="{5CCAA469-0E86-4158-B629-D55177E1C744}">
  <cacheSource type="external" connectionId="5"/>
  <cacheFields count="5">
    <cacheField name="[Calendar].[Month_Abb].[Month_Abb]" caption="Month_Abb" numFmtId="0" hierarchy="2" level="1">
      <sharedItems count="12">
        <s v="Apr"/>
        <s v="Aug"/>
        <s v="Dec"/>
        <s v="Feb"/>
        <s v="Jan"/>
        <s v="Jul"/>
        <s v="Jun"/>
        <s v="Mar"/>
        <s v="May"/>
        <s v="Nov"/>
        <s v="Oct"/>
        <s v="Sep"/>
      </sharedItems>
    </cacheField>
    <cacheField name="[Measures].[Sum of Producao_Planejada]" caption="Sum of Producao_Planejada" numFmtId="0" hierarchy="20" level="32767"/>
    <cacheField name="[Measures].[Sum of Producao_Real]" caption="Sum of Producao_Real" numFmtId="0" hierarchy="18" level="32767"/>
    <cacheField name="[paradas_12_meses].[Tipo_Parada].[Tipo_Parada]" caption="Tipo_Parada" numFmtId="0" hierarchy="10" level="1">
      <sharedItems containsSemiMixedTypes="0" containsNonDate="0" containsString="0"/>
    </cacheField>
    <cacheField name="[custos_12_meses].[Tipo_Custo].[Tipo_Custo]" caption="Tipo_Custo" numFmtId="0" hierarchy="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Month_Abb]" caption="Month_Abb" attribute="1" time="1" defaultMemberUniqueName="[Calendar].[Month_Abb].[All]" allUniqueName="[Calendar].[Month_Abb].[All]" dimensionUniqueName="[Calendar]" displayFolder="" count="2" memberValueDatatype="130" unbalanced="0">
      <fieldsUsage count="2">
        <fieldUsage x="-1"/>
        <fieldUsage x="0"/>
      </fieldsUsage>
    </cacheHierarchy>
    <cacheHierarchy uniqueName="[custos_12_meses].[Data]" caption="Data" attribute="1" time="1" defaultMemberUniqueName="[custos_12_meses].[Data].[All]" allUniqueName="[custos_12_meses].[Data].[All]" dimensionUniqueName="[custos_12_meses]" displayFolder="" count="0" memberValueDatatype="7" unbalanced="0"/>
    <cacheHierarchy uniqueName="[custos_12_meses].[Unidade]" caption="Unidade" attribute="1" defaultMemberUniqueName="[custos_12_meses].[Unidade].[All]" allUniqueName="[custos_12_meses].[Unidade].[All]" dimensionUniqueName="[custos_12_meses]" displayFolder="" count="0" memberValueDatatype="130" unbalanced="0"/>
    <cacheHierarchy uniqueName="[custos_12_meses].[Tipo_Custo]" caption="Tipo_Custo" attribute="1" defaultMemberUniqueName="[custos_12_meses].[Tipo_Custo].[All]" allUniqueName="[custos_12_meses].[Tipo_Custo].[All]" dimensionUniqueName="[custos_12_meses]" displayFolder="" count="2" memberValueDatatype="130" unbalanced="0">
      <fieldsUsage count="2">
        <fieldUsage x="-1"/>
        <fieldUsage x="4"/>
      </fieldsUsage>
    </cacheHierarchy>
    <cacheHierarchy uniqueName="[custos_12_meses].[Valor]" caption="Valor" attribute="1" defaultMemberUniqueName="[custos_12_meses].[Valor].[All]" allUniqueName="[custos_12_meses].[Valor].[All]" dimensionUniqueName="[custos_12_meses]" displayFolder="" count="0" memberValueDatatype="20" unbalanced="0"/>
    <cacheHierarchy uniqueName="[paradas_12_meses].[Data]" caption="Data" attribute="1" time="1" defaultMemberUniqueName="[paradas_12_meses].[Data].[All]" allUniqueName="[paradas_12_meses].[Data].[All]" dimensionUniqueName="[paradas_12_meses]" displayFolder="" count="0" memberValueDatatype="7" unbalanced="0"/>
    <cacheHierarchy uniqueName="[paradas_12_meses].[Unidade]" caption="Unidade" attribute="1" defaultMemberUniqueName="[paradas_12_meses].[Unidade].[All]" allUniqueName="[paradas_12_meses].[Unidade].[All]" dimensionUniqueName="[paradas_12_meses]" displayFolder="" count="0" memberValueDatatype="130" unbalanced="0"/>
    <cacheHierarchy uniqueName="[paradas_12_meses].[Linha]" caption="Linha" attribute="1" defaultMemberUniqueName="[paradas_12_meses].[Linha].[All]" allUniqueName="[paradas_12_meses].[Linha].[All]" dimensionUniqueName="[paradas_12_meses]" displayFolder="" count="0" memberValueDatatype="130" unbalanced="0"/>
    <cacheHierarchy uniqueName="[paradas_12_meses].[Tipo_Parada]" caption="Tipo_Parada" attribute="1" defaultMemberUniqueName="[paradas_12_meses].[Tipo_Parada].[All]" allUniqueName="[paradas_12_meses].[Tipo_Parada].[All]" dimensionUniqueName="[paradas_12_meses]" displayFolder="" count="2" memberValueDatatype="130" unbalanced="0">
      <fieldsUsage count="2">
        <fieldUsage x="-1"/>
        <fieldUsage x="3"/>
      </fieldsUsage>
    </cacheHierarchy>
    <cacheHierarchy uniqueName="[paradas_12_meses].[Duracao_Horas]" caption="Duracao_Horas" attribute="1" defaultMemberUniqueName="[paradas_12_meses].[Duracao_Horas].[All]" allUniqueName="[paradas_12_meses].[Duracao_Horas].[All]" dimensionUniqueName="[paradas_12_meses]" displayFolder="" count="0" memberValueDatatype="5" unbalanced="0"/>
    <cacheHierarchy uniqueName="[producao_12_meses].[Data]" caption="Data" attribute="1" time="1" defaultMemberUniqueName="[producao_12_meses].[Data].[All]" allUniqueName="[producao_12_meses].[Data].[All]" dimensionUniqueName="[producao_12_meses]" displayFolder="" count="0" memberValueDatatype="7" unbalanced="0"/>
    <cacheHierarchy uniqueName="[producao_12_meses].[Unidade]" caption="Unidade" attribute="1" defaultMemberUniqueName="[producao_12_meses].[Unidade].[All]" allUniqueName="[producao_12_meses].[Unidade].[All]" dimensionUniqueName="[producao_12_meses]" displayFolder="" count="0" memberValueDatatype="130" unbalanced="0"/>
    <cacheHierarchy uniqueName="[producao_12_meses].[Linha]" caption="Linha" attribute="1" defaultMemberUniqueName="[producao_12_meses].[Linha].[All]" allUniqueName="[producao_12_meses].[Linha].[All]" dimensionUniqueName="[producao_12_meses]" displayFolder="" count="0" memberValueDatatype="130" unbalanced="0"/>
    <cacheHierarchy uniqueName="[producao_12_meses].[Turno]" caption="Turno" attribute="1" defaultMemberUniqueName="[producao_12_meses].[Turno].[All]" allUniqueName="[producao_12_meses].[Turno].[All]" dimensionUniqueName="[producao_12_meses]" displayFolder="" count="0" memberValueDatatype="130" unbalanced="0"/>
    <cacheHierarchy uniqueName="[producao_12_meses].[Producao_Planejada]" caption="Producao_Planejada" attribute="1" defaultMemberUniqueName="[producao_12_meses].[Producao_Planejada].[All]" allUniqueName="[producao_12_meses].[Producao_Planejada].[All]" dimensionUniqueName="[producao_12_meses]" displayFolder="" count="0" memberValueDatatype="20" unbalanced="0"/>
    <cacheHierarchy uniqueName="[producao_12_meses].[Producao_Real]" caption="Producao_Real" attribute="1" defaultMemberUniqueName="[producao_12_meses].[Producao_Real].[All]" allUniqueName="[producao_12_meses].[Producao_Real].[All]" dimensionUniqueName="[producao_12_meses]" displayFolder="" count="0" memberValueDatatype="20" unbalanced="0"/>
    <cacheHierarchy uniqueName="[Measures].[Sum of Producao_Real]" caption="Sum of Producao_Real" measure="1" displayFolder="" measureGroup="producao_12_meses" count="0" oneField="1">
      <fieldsUsage count="1">
        <fieldUsage x="2"/>
      </fieldsUsage>
      <extLst>
        <ext xmlns:x15="http://schemas.microsoft.com/office/spreadsheetml/2010/11/main" uri="{B97F6D7D-B522-45F9-BDA1-12C45D357490}">
          <x15:cacheHierarchy aggregatedColumn="17"/>
        </ext>
      </extLst>
    </cacheHierarchy>
    <cacheHierarchy uniqueName="[Measures].[Sum of Valor]" caption="Sum of Valor" measure="1" displayFolder="" measureGroup="custos_12_meses" count="0">
      <extLst>
        <ext xmlns:x15="http://schemas.microsoft.com/office/spreadsheetml/2010/11/main" uri="{B97F6D7D-B522-45F9-BDA1-12C45D357490}">
          <x15:cacheHierarchy aggregatedColumn="6"/>
        </ext>
      </extLst>
    </cacheHierarchy>
    <cacheHierarchy uniqueName="[Measures].[Sum of Producao_Planejada]" caption="Sum of Producao_Planejada" measure="1" displayFolder="" measureGroup="producao_12_meses" count="0" oneField="1">
      <fieldsUsage count="1">
        <fieldUsage x="1"/>
      </fieldsUsage>
      <extLst>
        <ext xmlns:x15="http://schemas.microsoft.com/office/spreadsheetml/2010/11/main" uri="{B97F6D7D-B522-45F9-BDA1-12C45D357490}">
          <x15:cacheHierarchy aggregatedColumn="16"/>
        </ext>
      </extLst>
    </cacheHierarchy>
    <cacheHierarchy uniqueName="[Measures].[Sum of Duracao_Horas]" caption="Sum of Duracao_Horas" measure="1" displayFolder="" measureGroup="paradas_12_meses" count="0">
      <extLst>
        <ext xmlns:x15="http://schemas.microsoft.com/office/spreadsheetml/2010/11/main" uri="{B97F6D7D-B522-45F9-BDA1-12C45D357490}">
          <x15:cacheHierarchy aggregatedColumn="11"/>
        </ext>
      </extLst>
    </cacheHierarchy>
    <cacheHierarchy uniqueName="[Measures].[Count of Tipo_Parada]" caption="Count of Tipo_Parada" measure="1" displayFolder="" measureGroup="paradas_12_meses" count="0">
      <extLst>
        <ext xmlns:x15="http://schemas.microsoft.com/office/spreadsheetml/2010/11/main" uri="{B97F6D7D-B522-45F9-BDA1-12C45D357490}">
          <x15:cacheHierarchy aggregatedColumn="10"/>
        </ext>
      </extLst>
    </cacheHierarchy>
    <cacheHierarchy uniqueName="[Measures].[Custo Por Unidade]" caption="Custo Por Unidade" measure="1" displayFolder="" measureGroup="custos_12_meses" count="0"/>
    <cacheHierarchy uniqueName="[Measures].[Eficiência Operacional]" caption="Eficiência Operacional" measure="1" displayFolder="" measureGroup="producao_12_meses" count="0"/>
    <cacheHierarchy uniqueName="[Measures].[__XL_Count custos_12_meses]" caption="__XL_Count custos_12_meses" measure="1" displayFolder="" measureGroup="custos_12_meses" count="0" hidden="1"/>
    <cacheHierarchy uniqueName="[Measures].[__XL_Count paradas_12_meses]" caption="__XL_Count paradas_12_meses" measure="1" displayFolder="" measureGroup="paradas_12_meses" count="0" hidden="1"/>
    <cacheHierarchy uniqueName="[Measures].[__XL_Count producao_12_meses]" caption="__XL_Count producao_12_meses" measure="1" displayFolder="" measureGroup="producao_12_me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s_12_meses" uniqueName="[custos_12_meses]" caption="custos_12_meses"/>
    <dimension measure="1" name="Measures" uniqueName="[Measures]" caption="Measures"/>
    <dimension name="paradas_12_meses" uniqueName="[paradas_12_meses]" caption="paradas_12_meses"/>
    <dimension name="producao_12_meses" uniqueName="[producao_12_meses]" caption="producao_12_meses"/>
  </dimensions>
  <measureGroups count="4">
    <measureGroup name="Calendar" caption="Calendar"/>
    <measureGroup name="custos_12_meses" caption="custos_12_meses"/>
    <measureGroup name="paradas_12_meses" caption="paradas_12_meses"/>
    <measureGroup name="producao_12_meses" caption="producao_12_meses"/>
  </measureGroups>
  <maps count="7">
    <map measureGroup="0" dimension="0"/>
    <map measureGroup="1" dimension="0"/>
    <map measureGroup="1" dimension="1"/>
    <map measureGroup="2" dimension="0"/>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os" refreshedDate="46023.572672916664" backgroundQuery="1" createdVersion="3" refreshedVersion="8" minRefreshableVersion="3" recordCount="0" supportSubquery="1" supportAdvancedDrill="1" xr:uid="{50EA89B3-C56B-4284-AC3C-949ABBDBAD96}">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Month_Abb]" caption="Month_Abb" attribute="1" time="1" defaultMemberUniqueName="[Calendar].[Month_Abb].[All]" allUniqueName="[Calendar].[Month_Abb].[All]" dimensionUniqueName="[Calendar]" displayFolder="" count="2" memberValueDatatype="130" unbalanced="0"/>
    <cacheHierarchy uniqueName="[custos_12_meses].[Data]" caption="Data" attribute="1" time="1" defaultMemberUniqueName="[custos_12_meses].[Data].[All]" allUniqueName="[custos_12_meses].[Data].[All]" dimensionUniqueName="[custos_12_meses]" displayFolder="" count="0" memberValueDatatype="7" unbalanced="0"/>
    <cacheHierarchy uniqueName="[custos_12_meses].[Unidade]" caption="Unidade" attribute="1" defaultMemberUniqueName="[custos_12_meses].[Unidade].[All]" allUniqueName="[custos_12_meses].[Unidade].[All]" dimensionUniqueName="[custos_12_meses]" displayFolder="" count="0" memberValueDatatype="130" unbalanced="0"/>
    <cacheHierarchy uniqueName="[custos_12_meses].[Tipo_Custo]" caption="Tipo_Custo" attribute="1" defaultMemberUniqueName="[custos_12_meses].[Tipo_Custo].[All]" allUniqueName="[custos_12_meses].[Tipo_Custo].[All]" dimensionUniqueName="[custos_12_meses]" displayFolder="" count="2" memberValueDatatype="130" unbalanced="0"/>
    <cacheHierarchy uniqueName="[custos_12_meses].[Valor]" caption="Valor" attribute="1" defaultMemberUniqueName="[custos_12_meses].[Valor].[All]" allUniqueName="[custos_12_meses].[Valor].[All]" dimensionUniqueName="[custos_12_meses]" displayFolder="" count="0" memberValueDatatype="20" unbalanced="0"/>
    <cacheHierarchy uniqueName="[paradas_12_meses].[Data]" caption="Data" attribute="1" time="1" defaultMemberUniqueName="[paradas_12_meses].[Data].[All]" allUniqueName="[paradas_12_meses].[Data].[All]" dimensionUniqueName="[paradas_12_meses]" displayFolder="" count="0" memberValueDatatype="7" unbalanced="0"/>
    <cacheHierarchy uniqueName="[paradas_12_meses].[Unidade]" caption="Unidade" attribute="1" defaultMemberUniqueName="[paradas_12_meses].[Unidade].[All]" allUniqueName="[paradas_12_meses].[Unidade].[All]" dimensionUniqueName="[paradas_12_meses]" displayFolder="" count="0" memberValueDatatype="130" unbalanced="0"/>
    <cacheHierarchy uniqueName="[paradas_12_meses].[Linha]" caption="Linha" attribute="1" defaultMemberUniqueName="[paradas_12_meses].[Linha].[All]" allUniqueName="[paradas_12_meses].[Linha].[All]" dimensionUniqueName="[paradas_12_meses]" displayFolder="" count="0" memberValueDatatype="130" unbalanced="0"/>
    <cacheHierarchy uniqueName="[paradas_12_meses].[Tipo_Parada]" caption="Tipo_Parada" attribute="1" defaultMemberUniqueName="[paradas_12_meses].[Tipo_Parada].[All]" allUniqueName="[paradas_12_meses].[Tipo_Parada].[All]" dimensionUniqueName="[paradas_12_meses]" displayFolder="" count="2" memberValueDatatype="130" unbalanced="0"/>
    <cacheHierarchy uniqueName="[paradas_12_meses].[Duracao_Horas]" caption="Duracao_Horas" attribute="1" defaultMemberUniqueName="[paradas_12_meses].[Duracao_Horas].[All]" allUniqueName="[paradas_12_meses].[Duracao_Horas].[All]" dimensionUniqueName="[paradas_12_meses]" displayFolder="" count="0" memberValueDatatype="5" unbalanced="0"/>
    <cacheHierarchy uniqueName="[producao_12_meses].[Data]" caption="Data" attribute="1" time="1" defaultMemberUniqueName="[producao_12_meses].[Data].[All]" allUniqueName="[producao_12_meses].[Data].[All]" dimensionUniqueName="[producao_12_meses]" displayFolder="" count="0" memberValueDatatype="7" unbalanced="0"/>
    <cacheHierarchy uniqueName="[producao_12_meses].[Unidade]" caption="Unidade" attribute="1" defaultMemberUniqueName="[producao_12_meses].[Unidade].[All]" allUniqueName="[producao_12_meses].[Unidade].[All]" dimensionUniqueName="[producao_12_meses]" displayFolder="" count="0" memberValueDatatype="130" unbalanced="0"/>
    <cacheHierarchy uniqueName="[producao_12_meses].[Linha]" caption="Linha" attribute="1" defaultMemberUniqueName="[producao_12_meses].[Linha].[All]" allUniqueName="[producao_12_meses].[Linha].[All]" dimensionUniqueName="[producao_12_meses]" displayFolder="" count="2" memberValueDatatype="130" unbalanced="0"/>
    <cacheHierarchy uniqueName="[producao_12_meses].[Turno]" caption="Turno" attribute="1" defaultMemberUniqueName="[producao_12_meses].[Turno].[All]" allUniqueName="[producao_12_meses].[Turno].[All]" dimensionUniqueName="[producao_12_meses]" displayFolder="" count="0" memberValueDatatype="130" unbalanced="0"/>
    <cacheHierarchy uniqueName="[producao_12_meses].[Producao_Planejada]" caption="Producao_Planejada" attribute="1" defaultMemberUniqueName="[producao_12_meses].[Producao_Planejada].[All]" allUniqueName="[producao_12_meses].[Producao_Planejada].[All]" dimensionUniqueName="[producao_12_meses]" displayFolder="" count="0" memberValueDatatype="20" unbalanced="0"/>
    <cacheHierarchy uniqueName="[producao_12_meses].[Producao_Real]" caption="Producao_Real" attribute="1" defaultMemberUniqueName="[producao_12_meses].[Producao_Real].[All]" allUniqueName="[producao_12_meses].[Producao_Real].[All]" dimensionUniqueName="[producao_12_meses]" displayFolder="" count="0" memberValueDatatype="20" unbalanced="0"/>
    <cacheHierarchy uniqueName="[Measures].[Custo Por Unidade]" caption="Custo Por Unidade" measure="1" displayFolder="" measureGroup="custos_12_meses" count="0"/>
    <cacheHierarchy uniqueName="[Measures].[__XL_Count custos_12_meses]" caption="__XL_Count custos_12_meses" measure="1" displayFolder="" measureGroup="custos_12_meses" count="0" hidden="1"/>
    <cacheHierarchy uniqueName="[Measures].[__XL_Count paradas_12_meses]" caption="__XL_Count paradas_12_meses" measure="1" displayFolder="" measureGroup="paradas_12_meses" count="0" hidden="1"/>
    <cacheHierarchy uniqueName="[Measures].[__XL_Count producao_12_meses]" caption="__XL_Count producao_12_meses" measure="1" displayFolder="" measureGroup="producao_12_me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ao_Real]" caption="Sum of Producao_Real" measure="1" displayFolder="" measureGroup="producao_12_meses" count="0" hidden="1">
      <extLst>
        <ext xmlns:x15="http://schemas.microsoft.com/office/spreadsheetml/2010/11/main" uri="{B97F6D7D-B522-45F9-BDA1-12C45D357490}">
          <x15:cacheHierarchy aggregatedColumn="17"/>
        </ext>
      </extLst>
    </cacheHierarchy>
    <cacheHierarchy uniqueName="[Measures].[Sum of Valor]" caption="Sum of Valor" measure="1" displayFolder="" measureGroup="custos_12_meses" count="0" hidden="1">
      <extLst>
        <ext xmlns:x15="http://schemas.microsoft.com/office/spreadsheetml/2010/11/main" uri="{B97F6D7D-B522-45F9-BDA1-12C45D357490}">
          <x15:cacheHierarchy aggregatedColumn="6"/>
        </ext>
      </extLst>
    </cacheHierarchy>
    <cacheHierarchy uniqueName="[Measures].[Sum of Producao_Planejada]" caption="Sum of Producao_Planejada" measure="1" displayFolder="" measureGroup="producao_12_meses" count="0" hidden="1">
      <extLst>
        <ext xmlns:x15="http://schemas.microsoft.com/office/spreadsheetml/2010/11/main" uri="{B97F6D7D-B522-45F9-BDA1-12C45D357490}">
          <x15:cacheHierarchy aggregatedColumn="16"/>
        </ext>
      </extLst>
    </cacheHierarchy>
    <cacheHierarchy uniqueName="[Measures].[Sum of Duracao_Horas]" caption="Sum of Duracao_Horas" measure="1" displayFolder="" measureGroup="paradas_12_meses" count="0" hidden="1">
      <extLst>
        <ext xmlns:x15="http://schemas.microsoft.com/office/spreadsheetml/2010/11/main" uri="{B97F6D7D-B522-45F9-BDA1-12C45D357490}">
          <x15:cacheHierarchy aggregatedColumn="11"/>
        </ext>
      </extLst>
    </cacheHierarchy>
    <cacheHierarchy uniqueName="[Measures].[Count of Tipo_Parada]" caption="Count of Tipo_Parada" measure="1" displayFolder="" measureGroup="paradas_12_mese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2405964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88AABA-2CDA-48F1-84E4-9CCB8D0A964E}" name="KPI" cacheId="33" applyNumberFormats="0" applyBorderFormats="0" applyFontFormats="0" applyPatternFormats="0" applyAlignmentFormats="0" applyWidthHeightFormats="1" dataCaption="Values" tag="a1b2700d-31e0-4016-bfb9-da4b85275ae0" updatedVersion="8" minRefreshableVersion="3" useAutoFormatting="1" subtotalHiddenItems="1" itemPrintTitles="1" createdVersion="8" indent="0" outline="1" outlineData="1" multipleFieldFilters="0">
  <location ref="A3:E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Produção Total" fld="0" baseField="0" baseItem="0" numFmtId="164"/>
    <dataField name="Produção Planejada" fld="1" baseField="0" baseItem="0"/>
    <dataField name="Custo Total" fld="2" baseField="0" baseItem="0" numFmtId="166"/>
    <dataField fld="3" subtotal="count" baseField="0" baseItem="0" numFmtId="165"/>
    <dataField fld="6" subtotal="count" baseField="0" baseItem="0" numFmtId="10"/>
  </dataFields>
  <formats count="4">
    <format dxfId="23">
      <pivotArea outline="0" collapsedLevelsAreSubtotals="1" fieldPosition="0"/>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3"/>
          </reference>
        </references>
      </pivotArea>
    </format>
    <format dxfId="20">
      <pivotArea outline="0" collapsedLevelsAreSubtotals="1" fieldPosition="0">
        <references count="1">
          <reference field="4294967294" count="1" selected="0">
            <x v="4"/>
          </reference>
        </references>
      </pivotArea>
    </format>
  </formats>
  <pivotHierarchies count="30">
    <pivotHierarchy dragToData="1"/>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paradas_12_meses].[Linha].&amp;[Linha C]"/>
      </members>
    </pivotHierarchy>
    <pivotHierarchy multipleItemSelectionAllowed="1" dragToData="1">
      <members count="1" level="1">
        <member name="[paradas_12_meses].[Tipo_Parada].&amp;"/>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Produção Total"/>
    <pivotHierarchy dragToData="1" caption="Custo Total"/>
    <pivotHierarchy dragToData="1" caption="Produção Planejada"/>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ao_12_meses]"/>
        <x15:activeTabTopLevelEntity name="[custos_12_mes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FBBAC-C82F-46ED-9C91-54F31566F3C8}" name="Paradas Operacionais" cacheId="30" applyNumberFormats="0" applyBorderFormats="0" applyFontFormats="0" applyPatternFormats="0" applyAlignmentFormats="0" applyWidthHeightFormats="1" dataCaption="Values" grandTotalCaption="Total" tag="57522361-8667-450c-a609-9a75ce0046e2" updatedVersion="8" minRefreshableVersion="3" useAutoFormatting="1" subtotalHiddenItems="1" itemPrintTitles="1" createdVersion="8" indent="0" outline="1" outlineData="1" multipleFieldFilters="0" chartFormat="8" rowHeaderCaption="Tipo de Parada">
  <location ref="U3:V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Duração (Horas)" fld="1" baseField="0" baseItem="0"/>
  </dataFields>
  <chartFormats count="1">
    <chartFormat chart="5" format="4" series="1">
      <pivotArea type="data" outline="0" fieldPosition="0">
        <references count="1">
          <reference field="4294967294" count="1" selected="0">
            <x v="0"/>
          </reference>
        </references>
      </pivotArea>
    </chartFormat>
  </chartFormats>
  <pivotHierarchies count="30">
    <pivotHierarchy dragToData="1"/>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Duração (Hora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radas_12_meses]"/>
        <x15:activeTabTopLevelEntity name="[custos_12_meses]"/>
        <x15:activeTabTopLevelEntity name="[Calendar]"/>
        <x15:activeTabTopLevelEntity name="[producao_12_me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72EA5-A30B-42A2-AA54-5D7DE6EEE36A}" name="Composição de Custos" cacheId="4" applyNumberFormats="0" applyBorderFormats="0" applyFontFormats="0" applyPatternFormats="0" applyAlignmentFormats="0" applyWidthHeightFormats="1" dataCaption="Values" grandTotalCaption="Total" tag="233cc5dd-48f4-4acd-9b89-f6c3ad615313" updatedVersion="8" minRefreshableVersion="3" useAutoFormatting="1" subtotalHiddenItems="1" itemPrintTitles="1" createdVersion="8" indent="0" outline="1" outlineData="1" multipleFieldFilters="0" chartFormat="18" rowHeaderCaption="Tipo de Custo">
  <location ref="R3:S9"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2"/>
    </i>
    <i>
      <x v="1"/>
    </i>
    <i>
      <x/>
    </i>
    <i>
      <x v="3"/>
    </i>
    <i t="grand">
      <x/>
    </i>
  </rowItems>
  <colItems count="1">
    <i/>
  </colItems>
  <dataFields count="1">
    <dataField name="Custo" fld="1" showDataAs="percentOfTotal" baseField="0" baseItem="4" numFmtId="10"/>
  </dataFields>
  <formats count="2">
    <format dxfId="25">
      <pivotArea outline="0" collapsedLevelsAreSubtotals="1" fieldPosition="0"/>
    </format>
    <format dxfId="24">
      <pivotArea outline="0" fieldPosition="0">
        <references count="1">
          <reference field="4294967294" count="1">
            <x v="0"/>
          </reference>
        </references>
      </pivotArea>
    </format>
  </formats>
  <chartFormats count="6">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0" count="1" selected="0">
            <x v="4"/>
          </reference>
        </references>
      </pivotArea>
    </chartFormat>
    <chartFormat chart="17" format="14">
      <pivotArea type="data" outline="0" fieldPosition="0">
        <references count="2">
          <reference field="4294967294" count="1" selected="0">
            <x v="0"/>
          </reference>
          <reference field="0" count="1" selected="0">
            <x v="2"/>
          </reference>
        </references>
      </pivotArea>
    </chartFormat>
    <chartFormat chart="17" format="15">
      <pivotArea type="data" outline="0" fieldPosition="0">
        <references count="2">
          <reference field="4294967294" count="1" selected="0">
            <x v="0"/>
          </reference>
          <reference field="0" count="1" selected="0">
            <x v="1"/>
          </reference>
        </references>
      </pivotArea>
    </chartFormat>
    <chartFormat chart="17" format="16">
      <pivotArea type="data" outline="0" fieldPosition="0">
        <references count="2">
          <reference field="4294967294" count="1" selected="0">
            <x v="0"/>
          </reference>
          <reference field="0" count="1" selected="0">
            <x v="0"/>
          </reference>
        </references>
      </pivotArea>
    </chartFormat>
    <chartFormat chart="17" format="17">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paradas_12_meses].[Tipo_Parada].&amp;"/>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Custo"/>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s_12_mes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67A47-12E0-432C-9A71-B2D79311238C}" name="Eficiência" cacheId="27" applyNumberFormats="0" applyBorderFormats="0" applyFontFormats="0" applyPatternFormats="0" applyAlignmentFormats="0" applyWidthHeightFormats="1" dataCaption="Values" grandTotalCaption="Total" tag="6b2131fb-b5a3-41ce-a2b2-7440b5fb6a8d" updatedVersion="8" minRefreshableVersion="3" useAutoFormatting="1" subtotalHiddenItems="1" itemPrintTitles="1" createdVersion="8" indent="0" outline="1" outlineData="1" multipleFieldFilters="0" chartFormat="30" rowHeaderCaption="Mês">
  <location ref="N3:P16" firstHeaderRow="0" firstDataRow="1" firstDataCol="1"/>
  <pivotFields count="4">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v="3"/>
    </i>
    <i>
      <x v="11"/>
    </i>
    <i>
      <x/>
    </i>
    <i>
      <x v="6"/>
    </i>
    <i>
      <x v="9"/>
    </i>
    <i>
      <x v="8"/>
    </i>
    <i>
      <x v="5"/>
    </i>
    <i>
      <x v="1"/>
    </i>
    <i>
      <x v="4"/>
    </i>
    <i>
      <x v="7"/>
    </i>
    <i>
      <x v="2"/>
    </i>
    <i>
      <x v="10"/>
    </i>
    <i t="grand">
      <x/>
    </i>
  </rowItems>
  <colFields count="1">
    <field x="-2"/>
  </colFields>
  <colItems count="2">
    <i>
      <x/>
    </i>
    <i i="1">
      <x v="1"/>
    </i>
  </colItems>
  <dataFields count="2">
    <dataField name="Produção Real" fld="1" baseField="0" baseItem="0" numFmtId="3"/>
    <dataField fld="2" subtotal="count" baseField="0" baseItem="0" numFmtId="165"/>
  </dataFields>
  <formats count="2">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0"/>
          </reference>
        </references>
      </pivotArea>
    </format>
  </formats>
  <chartFormats count="14">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5" format="6">
      <pivotArea type="data" outline="0" fieldPosition="0">
        <references count="2">
          <reference field="4294967294" count="1" selected="0">
            <x v="1"/>
          </reference>
          <reference field="0" count="1" selected="0">
            <x v="2"/>
          </reference>
        </references>
      </pivotArea>
    </chartFormat>
    <chartFormat chart="25" format="7">
      <pivotArea type="data" outline="0" fieldPosition="0">
        <references count="2">
          <reference field="4294967294" count="1" selected="0">
            <x v="1"/>
          </reference>
          <reference field="0" count="1" selected="0">
            <x v="9"/>
          </reference>
        </references>
      </pivotArea>
    </chartFormat>
    <chartFormat chart="25" format="8">
      <pivotArea type="data" outline="0" fieldPosition="0">
        <references count="2">
          <reference field="4294967294" count="1" selected="0">
            <x v="1"/>
          </reference>
          <reference field="0" count="1" selected="0">
            <x v="11"/>
          </reference>
        </references>
      </pivotArea>
    </chartFormat>
    <chartFormat chart="25" format="9">
      <pivotArea type="data" outline="0" fieldPosition="0">
        <references count="2">
          <reference field="4294967294" count="1" selected="0">
            <x v="1"/>
          </reference>
          <reference field="0" count="1" selected="0">
            <x v="3"/>
          </reference>
        </references>
      </pivotArea>
    </chartFormat>
    <chartFormat chart="25" format="10">
      <pivotArea type="data" outline="0" fieldPosition="0">
        <references count="2">
          <reference field="4294967294" count="1" selected="0">
            <x v="1"/>
          </reference>
          <reference field="0" count="1" selected="0">
            <x v="8"/>
          </reference>
        </references>
      </pivotArea>
    </chartFormat>
    <chartFormat chart="25" format="11">
      <pivotArea type="data" outline="0" fieldPosition="0">
        <references count="2">
          <reference field="4294967294" count="1" selected="0">
            <x v="1"/>
          </reference>
          <reference field="0" count="1" selected="0">
            <x v="1"/>
          </reference>
        </references>
      </pivotArea>
    </chartFormat>
    <chartFormat chart="25" format="12">
      <pivotArea type="data" outline="0" fieldPosition="0">
        <references count="2">
          <reference field="4294967294" count="1" selected="0">
            <x v="1"/>
          </reference>
          <reference field="0" count="1" selected="0">
            <x v="7"/>
          </reference>
        </references>
      </pivotArea>
    </chartFormat>
    <chartFormat chart="25" format="13">
      <pivotArea type="data" outline="0" fieldPosition="0">
        <references count="2">
          <reference field="4294967294" count="1" selected="0">
            <x v="1"/>
          </reference>
          <reference field="0" count="1" selected="0">
            <x v="0"/>
          </reference>
        </references>
      </pivotArea>
    </chartFormat>
    <chartFormat chart="25" format="14">
      <pivotArea type="data" outline="0" fieldPosition="0">
        <references count="2">
          <reference field="4294967294" count="1" selected="0">
            <x v="1"/>
          </reference>
          <reference field="0" count="1" selected="0">
            <x v="10"/>
          </reference>
        </references>
      </pivotArea>
    </chartFormat>
    <chartFormat chart="25" format="15">
      <pivotArea type="data" outline="0" fieldPosition="0">
        <references count="2">
          <reference field="4294967294" count="1" selected="0">
            <x v="1"/>
          </reference>
          <reference field="0" count="1" selected="0">
            <x v="5"/>
          </reference>
        </references>
      </pivotArea>
    </chartFormat>
    <chartFormat chart="25" format="16">
      <pivotArea type="data" outline="0" fieldPosition="0">
        <references count="2">
          <reference field="4294967294" count="1" selected="0">
            <x v="1"/>
          </reference>
          <reference field="0" count="1" selected="0">
            <x v="6"/>
          </reference>
        </references>
      </pivotArea>
    </chartFormat>
    <chartFormat chart="25" format="17">
      <pivotArea type="data" outline="0" fieldPosition="0">
        <references count="2">
          <reference field="4294967294" count="1" selected="0">
            <x v="1"/>
          </reference>
          <reference field="0" count="1" selected="0">
            <x v="4"/>
          </reference>
        </references>
      </pivotArea>
    </chartFormat>
  </chartFormats>
  <pivotHierarchies count="30">
    <pivotHierarchy dragToData="1"/>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Produção Real"/>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producao_12_meses]"/>
        <x15:activeTabTopLevelEntity name="[custos_12_me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24E2F9-160F-4257-B2FB-DB7A640C4D2B}" name="Custo Total Mensal" cacheId="24" applyNumberFormats="0" applyBorderFormats="0" applyFontFormats="0" applyPatternFormats="0" applyAlignmentFormats="0" applyWidthHeightFormats="1" dataCaption="Values" grandTotalCaption="Total" tag="a250e139-ce1d-49a0-a3d3-353929d857d7" updatedVersion="8" minRefreshableVersion="3" useAutoFormatting="1" subtotalHiddenItems="1" itemPrintTitles="1" createdVersion="8" indent="0" outline="1" outlineData="1" multipleFieldFilters="0" chartFormat="9" rowHeaderCaption="Mês">
  <location ref="K3:L16" firstHeaderRow="1" firstDataRow="1" firstDataCol="1"/>
  <pivotFields count="4">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v="3"/>
    </i>
    <i>
      <x v="1"/>
    </i>
    <i>
      <x v="6"/>
    </i>
    <i>
      <x v="9"/>
    </i>
    <i>
      <x v="11"/>
    </i>
    <i>
      <x/>
    </i>
    <i>
      <x v="2"/>
    </i>
    <i>
      <x v="7"/>
    </i>
    <i>
      <x v="10"/>
    </i>
    <i>
      <x v="4"/>
    </i>
    <i>
      <x v="5"/>
    </i>
    <i>
      <x v="8"/>
    </i>
    <i t="grand">
      <x/>
    </i>
  </rowItems>
  <colItems count="1">
    <i/>
  </colItems>
  <dataFields count="1">
    <dataField name="Valor" fld="1" baseField="0" baseItem="0" numFmtId="166"/>
  </dataFields>
  <formats count="1">
    <format dxfId="28">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8"/>
          </reference>
        </references>
      </pivotArea>
    </chartFormat>
  </chartFormats>
  <pivotHierarchies count="30">
    <pivotHierarchy dragToData="1"/>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paradas_12_meses].[Tipo_Parada].&amp;"/>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Valo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s_12_meses]"/>
        <x15:activeTabTopLevelEntity name="[producao_12_me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8C1782-7317-4772-B527-AEE64EB78744}" name="Produção Planejada X Produção Real" cacheId="36" applyNumberFormats="0" applyBorderFormats="0" applyFontFormats="0" applyPatternFormats="0" applyAlignmentFormats="0" applyWidthHeightFormats="1" dataCaption="Values" grandTotalCaption="Total" tag="24d83283-a3b9-4781-9bd1-236aaab13096" updatedVersion="8" minRefreshableVersion="3" useAutoFormatting="1" subtotalHiddenItems="1" itemPrintTitles="1" createdVersion="8" indent="0" outline="1" outlineData="1" multipleFieldFilters="0" chartFormat="12" rowHeaderCaption="Mês">
  <location ref="G3:I16" firstHeaderRow="0" firstDataRow="1" firstDataCol="1"/>
  <pivotFields count="5">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v="10"/>
    </i>
    <i>
      <x v="2"/>
    </i>
    <i>
      <x v="7"/>
    </i>
    <i>
      <x v="4"/>
    </i>
    <i>
      <x v="1"/>
    </i>
    <i>
      <x v="5"/>
    </i>
    <i>
      <x v="8"/>
    </i>
    <i>
      <x v="9"/>
    </i>
    <i>
      <x v="6"/>
    </i>
    <i>
      <x/>
    </i>
    <i>
      <x v="11"/>
    </i>
    <i>
      <x v="3"/>
    </i>
    <i t="grand">
      <x/>
    </i>
  </rowItems>
  <colFields count="1">
    <field x="-2"/>
  </colFields>
  <colItems count="2">
    <i>
      <x/>
    </i>
    <i i="1">
      <x v="1"/>
    </i>
  </colItems>
  <dataFields count="2">
    <dataField name="Produção Planejada" fld="1" baseField="0" baseItem="0" numFmtId="3"/>
    <dataField name="Produção Real" fld="2" baseField="0" baseItem="0" numFmtId="3"/>
  </dataFields>
  <formats count="3">
    <format dxfId="31">
      <pivotArea collapsedLevelsAreSubtotals="1" fieldPosition="0">
        <references count="2">
          <reference field="4294967294" count="1" selected="0">
            <x v="1"/>
          </reference>
          <reference field="0" count="0"/>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0"/>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30">
    <pivotHierarchy dragToData="1"/>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paradas_12_meses].[Tipo_Parada].&amp;"/>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Produção Real"/>
    <pivotHierarchy dragToData="1"/>
    <pivotHierarchy dragToData="1" caption="Produção Planejada"/>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producao_12_meses]"/>
        <x15:activeTabTopLevelEntity name="[custos_12_mes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Abb" xr10:uid="{01D3729E-28F8-465A-8211-416235D589B0}" sourceName="[Calendar].[Month_Abb]">
  <pivotTables>
    <pivotTable tabId="5" name="Eficiência"/>
    <pivotTable tabId="5" name="Custo Total Mensal"/>
    <pivotTable tabId="5" name="Paradas Operacionais"/>
    <pivotTable tabId="5" name="Produção Planejada X Produção Real"/>
    <pivotTable tabId="5" name="Composição de Custos"/>
    <pivotTable tabId="5" name="KPI"/>
  </pivotTables>
  <data>
    <olap pivotCacheId="1240596456">
      <levels count="2">
        <level uniqueName="[Calendar].[Month_Abb].[(All)]" sourceCaption="(All)" count="0"/>
        <level uniqueName="[Calendar].[Month_Abb].[Month_Abb]" sourceCaption="Month_Abb" count="12">
          <ranges>
            <range startItem="0">
              <i n="[Calendar].[Month_Abb].&amp;[Apr]" c="Apr"/>
              <i n="[Calendar].[Month_Abb].&amp;[Aug]" c="Aug"/>
              <i n="[Calendar].[Month_Abb].&amp;[Dec]" c="Dec"/>
              <i n="[Calendar].[Month_Abb].&amp;[Feb]" c="Feb"/>
              <i n="[Calendar].[Month_Abb].&amp;[Jan]" c="Jan"/>
              <i n="[Calendar].[Month_Abb].&amp;[Jul]" c="Jul"/>
              <i n="[Calendar].[Month_Abb].&amp;[Jun]" c="Jun"/>
              <i n="[Calendar].[Month_Abb].&amp;[Mar]" c="Mar"/>
              <i n="[Calendar].[Month_Abb].&amp;[May]" c="May"/>
              <i n="[Calendar].[Month_Abb].&amp;[Nov]" c="Nov"/>
              <i n="[Calendar].[Month_Abb].&amp;[Oct]" c="Oct"/>
              <i n="[Calendar].[Month_Abb].&amp;[Sep]" c="Sep"/>
            </range>
          </ranges>
        </level>
      </levels>
      <selections count="1">
        <selection n="[Calendar].[Month_Abb].[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Custo" xr10:uid="{CF5D74F3-AC0A-4D4C-8072-91004F51F4DE}" sourceName="[custos_12_meses].[Tipo_Custo]">
  <pivotTables>
    <pivotTable tabId="5" name="Custo Total Mensal"/>
    <pivotTable tabId="5" name="Eficiência"/>
    <pivotTable tabId="5" name="Paradas Operacionais"/>
    <pivotTable tabId="5" name="KPI"/>
    <pivotTable tabId="5" name="Produção Planejada X Produção Real"/>
  </pivotTables>
  <data>
    <olap pivotCacheId="1240596456">
      <levels count="2">
        <level uniqueName="[custos_12_meses].[Tipo_Custo].[(All)]" sourceCaption="(All)" count="0"/>
        <level uniqueName="[custos_12_meses].[Tipo_Custo].[Tipo_Custo]" sourceCaption="Tipo_Custo" count="5">
          <ranges>
            <range startItem="0">
              <i n="[custos_12_meses].[Tipo_Custo].&amp;[Energia]" c="Energia"/>
              <i n="[custos_12_meses].[Tipo_Custo].&amp;[Logistica]" c="Logistica"/>
              <i n="[custos_12_meses].[Tipo_Custo].&amp;[Manutencao]" c="Manutencao"/>
              <i n="[custos_12_meses].[Tipo_Custo].&amp;[Mao_de_Obra]" c="Mao_de_Obra"/>
              <i n="[custos_12_meses].[Tipo_Custo].&amp;[Terceiros]" c="Terceiros"/>
            </range>
          </ranges>
        </level>
      </levels>
      <selections count="1">
        <selection n="[custos_12_meses].[Tipo_Custo].[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ha" xr10:uid="{5F91F906-EB51-4B0C-9F64-C008074E5B88}" sourceName="[producao_12_meses].[Linha]">
  <pivotTables>
    <pivotTable tabId="5" name="Produção Planejada X Produção Real"/>
    <pivotTable tabId="5" name="Eficiência"/>
    <pivotTable tabId="5" name="Paradas Operacionais"/>
    <pivotTable tabId="5" name="KPI"/>
  </pivotTables>
  <data>
    <olap pivotCacheId="1240596456">
      <levels count="2">
        <level uniqueName="[producao_12_meses].[Linha].[(All)]" sourceCaption="(All)" count="0"/>
        <level uniqueName="[producao_12_meses].[Linha].[Linha]" sourceCaption="Linha" count="3">
          <ranges>
            <range startItem="0">
              <i n="[producao_12_meses].[Linha].&amp;[Linha A]" c="Linha A"/>
              <i n="[producao_12_meses].[Linha].&amp;[Linha B]" c="Linha B"/>
              <i n="[producao_12_meses].[Linha].&amp;[Linha C]" c="Linha C"/>
            </range>
          </ranges>
        </level>
      </levels>
      <selections count="1">
        <selection n="[producao_12_meses].[Linh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Abb" xr10:uid="{707F3D22-9F79-4751-881B-19E553EDEB4A}" cache="Slicer_Month_Abb" caption="Mês" level="1" style="SlicerStyleLight2" rowHeight="241300"/>
  <slicer name="Tipo_Custo" xr10:uid="{373AB155-4E54-4255-BE84-4E88E3F40B28}" cache="Slicer_Tipo_Custo" caption="Custo" level="1" style="SlicerStyleLight2" rowHeight="241300"/>
  <slicer name="Linha" xr10:uid="{5CFBFB46-9202-4318-AC38-204D21190348}" cache="Slicer_Linha" caption="Linha" level="1"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1D489-8031-4FB4-8018-F0C6093C9ECF}">
  <dimension ref="A1:L4"/>
  <sheetViews>
    <sheetView showGridLines="0" tabSelected="1" zoomScaleNormal="100" workbookViewId="0">
      <selection activeCell="M41" sqref="M41"/>
    </sheetView>
  </sheetViews>
  <sheetFormatPr defaultRowHeight="15" x14ac:dyDescent="0.25"/>
  <sheetData>
    <row r="1" spans="1:12" x14ac:dyDescent="0.25">
      <c r="A1" s="20"/>
      <c r="B1" s="20"/>
      <c r="C1" s="20"/>
      <c r="D1" s="20"/>
      <c r="E1" s="20"/>
      <c r="F1" s="20"/>
      <c r="G1" s="20"/>
      <c r="H1" s="20"/>
      <c r="I1" s="20"/>
      <c r="J1" s="20"/>
      <c r="K1" s="20"/>
      <c r="L1" s="20"/>
    </row>
    <row r="2" spans="1:12" x14ac:dyDescent="0.25">
      <c r="A2" s="20"/>
      <c r="B2" s="20"/>
      <c r="C2" s="20"/>
      <c r="D2" s="20"/>
      <c r="E2" s="20"/>
      <c r="F2" s="20"/>
      <c r="G2" s="20"/>
      <c r="H2" s="20"/>
      <c r="I2" s="20"/>
      <c r="J2" s="20"/>
      <c r="K2" s="20"/>
      <c r="L2" s="20"/>
    </row>
    <row r="3" spans="1:12" x14ac:dyDescent="0.25">
      <c r="A3" s="20"/>
      <c r="B3" s="20"/>
      <c r="C3" s="20"/>
      <c r="D3" s="20"/>
      <c r="E3" s="20"/>
      <c r="F3" s="20"/>
      <c r="G3" s="20"/>
      <c r="H3" s="20"/>
      <c r="I3" s="20"/>
      <c r="J3" s="20"/>
      <c r="K3" s="20"/>
      <c r="L3" s="20"/>
    </row>
    <row r="4" spans="1:12" ht="21" x14ac:dyDescent="0.25">
      <c r="A4" s="21"/>
      <c r="B4" s="21"/>
      <c r="C4" s="21"/>
      <c r="D4" s="21"/>
      <c r="E4" s="21"/>
      <c r="F4" s="21"/>
      <c r="G4" s="21"/>
      <c r="H4" s="21"/>
      <c r="I4" s="21"/>
      <c r="J4" s="21"/>
      <c r="K4" s="21"/>
      <c r="L4" s="21"/>
    </row>
  </sheetData>
  <sheetProtection sheet="1" objects="1" scenarios="1" selectLockedCells="1"/>
  <mergeCells count="2">
    <mergeCell ref="A1:L3"/>
    <mergeCell ref="A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160BF-0B4A-415A-B252-5D095B81EB55}">
  <dimension ref="A2:V29"/>
  <sheetViews>
    <sheetView zoomScale="145" zoomScaleNormal="145" workbookViewId="0">
      <selection activeCell="L4" sqref="L4"/>
    </sheetView>
  </sheetViews>
  <sheetFormatPr defaultRowHeight="15" x14ac:dyDescent="0.25"/>
  <cols>
    <col min="1" max="1" width="14.28515625" bestFit="1" customWidth="1"/>
    <col min="2" max="2" width="18.7109375" bestFit="1" customWidth="1"/>
    <col min="3" max="3" width="13.28515625" bestFit="1" customWidth="1"/>
    <col min="4" max="4" width="17.7109375" bestFit="1" customWidth="1"/>
    <col min="5" max="6" width="20.85546875" bestFit="1" customWidth="1"/>
    <col min="7" max="7" width="7.140625" bestFit="1" customWidth="1"/>
    <col min="8" max="8" width="18.7109375" bestFit="1" customWidth="1"/>
    <col min="9" max="9" width="13.7109375" bestFit="1" customWidth="1"/>
    <col min="10" max="10" width="7.5703125" customWidth="1"/>
    <col min="11" max="11" width="7.140625" bestFit="1" customWidth="1"/>
    <col min="12" max="12" width="13.42578125" bestFit="1" customWidth="1"/>
    <col min="13" max="13" width="8.85546875" customWidth="1"/>
    <col min="14" max="14" width="7.140625" bestFit="1" customWidth="1"/>
    <col min="15" max="15" width="13.7109375" bestFit="1" customWidth="1"/>
    <col min="16" max="16" width="17.7109375" bestFit="1" customWidth="1"/>
    <col min="17" max="17" width="8.5703125" customWidth="1"/>
    <col min="18" max="18" width="15.42578125" bestFit="1" customWidth="1"/>
    <col min="19" max="19" width="8.5703125" bestFit="1" customWidth="1"/>
    <col min="20" max="20" width="8.140625" customWidth="1"/>
    <col min="21" max="21" width="22.42578125" bestFit="1" customWidth="1"/>
    <col min="22" max="22" width="15.140625" bestFit="1" customWidth="1"/>
    <col min="23" max="23" width="12.28515625" bestFit="1" customWidth="1"/>
    <col min="24" max="33" width="16.28515625" bestFit="1" customWidth="1"/>
    <col min="34" max="34" width="11.28515625" bestFit="1" customWidth="1"/>
    <col min="35" max="235" width="16.28515625" bestFit="1" customWidth="1"/>
    <col min="236" max="236" width="11.28515625" bestFit="1" customWidth="1"/>
    <col min="237" max="372" width="16.28515625" bestFit="1" customWidth="1"/>
    <col min="373" max="373" width="11.28515625" bestFit="1" customWidth="1"/>
    <col min="374" max="374" width="13.7109375" bestFit="1" customWidth="1"/>
    <col min="375" max="375" width="9.42578125" bestFit="1" customWidth="1"/>
    <col min="376" max="376" width="13.7109375" bestFit="1" customWidth="1"/>
    <col min="377" max="377" width="9.42578125" bestFit="1" customWidth="1"/>
    <col min="378" max="378" width="13.7109375" bestFit="1" customWidth="1"/>
    <col min="379" max="379" width="9.42578125" bestFit="1" customWidth="1"/>
    <col min="380" max="380" width="13.7109375" bestFit="1" customWidth="1"/>
    <col min="381" max="381" width="9.42578125" bestFit="1" customWidth="1"/>
    <col min="382" max="382" width="13.7109375" bestFit="1" customWidth="1"/>
    <col min="383" max="383" width="9.42578125" bestFit="1" customWidth="1"/>
    <col min="384" max="384" width="13.7109375" bestFit="1" customWidth="1"/>
    <col min="385" max="385" width="9.42578125" bestFit="1" customWidth="1"/>
    <col min="386" max="386" width="13.7109375" bestFit="1" customWidth="1"/>
    <col min="387" max="387" width="9.42578125" bestFit="1" customWidth="1"/>
    <col min="388" max="388" width="13.7109375" bestFit="1" customWidth="1"/>
    <col min="389" max="389" width="9.42578125" bestFit="1" customWidth="1"/>
    <col min="390" max="390" width="13.7109375" bestFit="1" customWidth="1"/>
    <col min="391" max="391" width="9.42578125" bestFit="1" customWidth="1"/>
    <col min="392" max="392" width="13.7109375" bestFit="1" customWidth="1"/>
    <col min="393" max="393" width="9.42578125" bestFit="1" customWidth="1"/>
    <col min="394" max="394" width="13.7109375" bestFit="1" customWidth="1"/>
    <col min="395" max="395" width="9.42578125" bestFit="1" customWidth="1"/>
    <col min="396" max="396" width="13.7109375" bestFit="1" customWidth="1"/>
    <col min="397" max="397" width="9.42578125" bestFit="1" customWidth="1"/>
    <col min="398" max="398" width="13.7109375" bestFit="1" customWidth="1"/>
    <col min="399" max="399" width="9.42578125" bestFit="1" customWidth="1"/>
    <col min="400" max="400" width="13.7109375" bestFit="1" customWidth="1"/>
    <col min="401" max="401" width="9.42578125" bestFit="1" customWidth="1"/>
    <col min="402" max="402" width="13.7109375" bestFit="1" customWidth="1"/>
    <col min="403" max="403" width="9.42578125" bestFit="1" customWidth="1"/>
    <col min="404" max="404" width="13.7109375" bestFit="1" customWidth="1"/>
    <col min="405" max="405" width="9.42578125" bestFit="1" customWidth="1"/>
    <col min="406" max="406" width="13.7109375" bestFit="1" customWidth="1"/>
    <col min="407" max="407" width="9.42578125" bestFit="1" customWidth="1"/>
    <col min="408" max="408" width="13.7109375" bestFit="1" customWidth="1"/>
    <col min="409" max="409" width="9.42578125" bestFit="1" customWidth="1"/>
    <col min="410" max="410" width="13.7109375" bestFit="1" customWidth="1"/>
    <col min="411" max="411" width="9.42578125" bestFit="1" customWidth="1"/>
    <col min="412" max="412" width="13.7109375" bestFit="1" customWidth="1"/>
    <col min="413" max="413" width="9.42578125" bestFit="1" customWidth="1"/>
    <col min="414" max="414" width="13.7109375" bestFit="1" customWidth="1"/>
    <col min="415" max="415" width="9.42578125" bestFit="1" customWidth="1"/>
    <col min="416" max="416" width="13.7109375" bestFit="1" customWidth="1"/>
    <col min="417" max="417" width="9.42578125" bestFit="1" customWidth="1"/>
    <col min="418" max="418" width="13.7109375" bestFit="1" customWidth="1"/>
    <col min="419" max="419" width="9.42578125" bestFit="1" customWidth="1"/>
    <col min="420" max="420" width="13.7109375" bestFit="1" customWidth="1"/>
    <col min="421" max="421" width="9.42578125" bestFit="1" customWidth="1"/>
    <col min="422" max="422" width="13.7109375" bestFit="1" customWidth="1"/>
    <col min="423" max="423" width="9.42578125" bestFit="1" customWidth="1"/>
    <col min="424" max="424" width="13.7109375" bestFit="1" customWidth="1"/>
    <col min="425" max="425" width="9.42578125" bestFit="1" customWidth="1"/>
    <col min="426" max="426" width="13.7109375" bestFit="1" customWidth="1"/>
    <col min="427" max="427" width="9.42578125" bestFit="1" customWidth="1"/>
    <col min="428" max="428" width="13.7109375" bestFit="1" customWidth="1"/>
    <col min="429" max="429" width="9.42578125" bestFit="1" customWidth="1"/>
    <col min="430" max="430" width="13.7109375" bestFit="1" customWidth="1"/>
    <col min="431" max="431" width="9.42578125" bestFit="1" customWidth="1"/>
    <col min="432" max="432" width="13.7109375" bestFit="1" customWidth="1"/>
    <col min="433" max="433" width="9.42578125" bestFit="1" customWidth="1"/>
    <col min="434" max="434" width="13.7109375" bestFit="1" customWidth="1"/>
    <col min="435" max="435" width="9.42578125" bestFit="1" customWidth="1"/>
    <col min="436" max="436" width="13.7109375" bestFit="1" customWidth="1"/>
    <col min="437" max="437" width="9.42578125" bestFit="1" customWidth="1"/>
    <col min="438" max="438" width="13.7109375" bestFit="1" customWidth="1"/>
    <col min="439" max="439" width="9.42578125" bestFit="1" customWidth="1"/>
    <col min="440" max="440" width="13.7109375" bestFit="1" customWidth="1"/>
    <col min="441" max="441" width="9.42578125" bestFit="1" customWidth="1"/>
    <col min="442" max="442" width="13.7109375" bestFit="1" customWidth="1"/>
    <col min="443" max="443" width="9.42578125" bestFit="1" customWidth="1"/>
    <col min="444" max="444" width="13.7109375" bestFit="1" customWidth="1"/>
    <col min="445" max="445" width="9.42578125" bestFit="1" customWidth="1"/>
    <col min="446" max="446" width="13.7109375" bestFit="1" customWidth="1"/>
    <col min="447" max="447" width="9.42578125" bestFit="1" customWidth="1"/>
    <col min="448" max="448" width="13.7109375" bestFit="1" customWidth="1"/>
    <col min="449" max="449" width="9.42578125" bestFit="1" customWidth="1"/>
    <col min="450" max="450" width="13.7109375" bestFit="1" customWidth="1"/>
    <col min="451" max="451" width="9.42578125" bestFit="1" customWidth="1"/>
    <col min="452" max="452" width="13.7109375" bestFit="1" customWidth="1"/>
    <col min="453" max="453" width="9.42578125" bestFit="1" customWidth="1"/>
    <col min="454" max="454" width="13.7109375" bestFit="1" customWidth="1"/>
    <col min="455" max="455" width="9.42578125" bestFit="1" customWidth="1"/>
    <col min="456" max="456" width="13.7109375" bestFit="1" customWidth="1"/>
    <col min="457" max="457" width="9.42578125" bestFit="1" customWidth="1"/>
    <col min="458" max="458" width="13.7109375" bestFit="1" customWidth="1"/>
    <col min="459" max="459" width="9.42578125" bestFit="1" customWidth="1"/>
    <col min="460" max="460" width="13.7109375" bestFit="1" customWidth="1"/>
    <col min="461" max="461" width="9.42578125" bestFit="1" customWidth="1"/>
    <col min="462" max="462" width="13.7109375" bestFit="1" customWidth="1"/>
    <col min="463" max="463" width="9.42578125" bestFit="1" customWidth="1"/>
    <col min="464" max="464" width="13.7109375" bestFit="1" customWidth="1"/>
    <col min="465" max="465" width="9.42578125" bestFit="1" customWidth="1"/>
    <col min="466" max="466" width="13.7109375" bestFit="1" customWidth="1"/>
    <col min="467" max="467" width="9.42578125" bestFit="1" customWidth="1"/>
    <col min="468" max="468" width="13.7109375" bestFit="1" customWidth="1"/>
    <col min="469" max="469" width="9.42578125" bestFit="1" customWidth="1"/>
    <col min="470" max="470" width="13.7109375" bestFit="1" customWidth="1"/>
    <col min="471" max="471" width="9.42578125" bestFit="1" customWidth="1"/>
    <col min="472" max="472" width="13.7109375" bestFit="1" customWidth="1"/>
    <col min="473" max="473" width="9.42578125" bestFit="1" customWidth="1"/>
    <col min="474" max="474" width="13.7109375" bestFit="1" customWidth="1"/>
    <col min="475" max="475" width="9.42578125" bestFit="1" customWidth="1"/>
    <col min="476" max="476" width="13.7109375" bestFit="1" customWidth="1"/>
    <col min="477" max="477" width="9.42578125" bestFit="1" customWidth="1"/>
    <col min="478" max="478" width="13.7109375" bestFit="1" customWidth="1"/>
    <col min="479" max="479" width="9.42578125" bestFit="1" customWidth="1"/>
    <col min="480" max="480" width="13.7109375" bestFit="1" customWidth="1"/>
    <col min="481" max="481" width="9.42578125" bestFit="1" customWidth="1"/>
    <col min="482" max="482" width="13.7109375" bestFit="1" customWidth="1"/>
    <col min="483" max="483" width="9.42578125" bestFit="1" customWidth="1"/>
    <col min="484" max="484" width="13.7109375" bestFit="1" customWidth="1"/>
    <col min="485" max="485" width="9.42578125" bestFit="1" customWidth="1"/>
    <col min="486" max="486" width="13.7109375" bestFit="1" customWidth="1"/>
    <col min="487" max="487" width="9.42578125" bestFit="1" customWidth="1"/>
    <col min="488" max="488" width="13.7109375" bestFit="1" customWidth="1"/>
    <col min="489" max="489" width="9.42578125" bestFit="1" customWidth="1"/>
    <col min="490" max="490" width="13.7109375" bestFit="1" customWidth="1"/>
    <col min="491" max="491" width="9.42578125" bestFit="1" customWidth="1"/>
    <col min="492" max="492" width="13.7109375" bestFit="1" customWidth="1"/>
    <col min="493" max="493" width="9.42578125" bestFit="1" customWidth="1"/>
    <col min="494" max="494" width="13.7109375" bestFit="1" customWidth="1"/>
    <col min="495" max="495" width="9.42578125" bestFit="1" customWidth="1"/>
    <col min="496" max="496" width="13.7109375" bestFit="1" customWidth="1"/>
    <col min="497" max="497" width="9.42578125" bestFit="1" customWidth="1"/>
    <col min="498" max="498" width="13.7109375" bestFit="1" customWidth="1"/>
    <col min="499" max="499" width="9.42578125" bestFit="1" customWidth="1"/>
    <col min="500" max="500" width="13.7109375" bestFit="1" customWidth="1"/>
    <col min="501" max="501" width="9.42578125" bestFit="1" customWidth="1"/>
    <col min="502" max="502" width="13.7109375" bestFit="1" customWidth="1"/>
    <col min="503" max="503" width="9.42578125" bestFit="1" customWidth="1"/>
    <col min="504" max="504" width="13.7109375" bestFit="1" customWidth="1"/>
    <col min="505" max="505" width="9.42578125" bestFit="1" customWidth="1"/>
    <col min="506" max="506" width="13.7109375" bestFit="1" customWidth="1"/>
    <col min="507" max="507" width="9.42578125" bestFit="1" customWidth="1"/>
    <col min="508" max="508" width="13.7109375" bestFit="1" customWidth="1"/>
    <col min="509" max="509" width="9.42578125" bestFit="1" customWidth="1"/>
    <col min="510" max="510" width="13.7109375" bestFit="1" customWidth="1"/>
    <col min="511" max="511" width="9.42578125" bestFit="1" customWidth="1"/>
    <col min="512" max="512" width="13.7109375" bestFit="1" customWidth="1"/>
    <col min="513" max="513" width="9.42578125" bestFit="1" customWidth="1"/>
    <col min="514" max="514" width="13.7109375" bestFit="1" customWidth="1"/>
    <col min="515" max="515" width="9.42578125" bestFit="1" customWidth="1"/>
    <col min="516" max="516" width="13.7109375" bestFit="1" customWidth="1"/>
    <col min="517" max="517" width="9.42578125" bestFit="1" customWidth="1"/>
    <col min="518" max="518" width="13.7109375" bestFit="1" customWidth="1"/>
    <col min="519" max="519" width="9.42578125" bestFit="1" customWidth="1"/>
    <col min="520" max="520" width="13.7109375" bestFit="1" customWidth="1"/>
    <col min="521" max="521" width="9.42578125" bestFit="1" customWidth="1"/>
    <col min="522" max="522" width="13.7109375" bestFit="1" customWidth="1"/>
    <col min="523" max="523" width="9.42578125" bestFit="1" customWidth="1"/>
    <col min="524" max="524" width="13.7109375" bestFit="1" customWidth="1"/>
    <col min="525" max="525" width="9.42578125" bestFit="1" customWidth="1"/>
    <col min="526" max="526" width="13.7109375" bestFit="1" customWidth="1"/>
    <col min="527" max="527" width="9.42578125" bestFit="1" customWidth="1"/>
    <col min="528" max="528" width="13.7109375" bestFit="1" customWidth="1"/>
    <col min="529" max="529" width="9.42578125" bestFit="1" customWidth="1"/>
    <col min="530" max="530" width="13.7109375" bestFit="1" customWidth="1"/>
    <col min="531" max="531" width="9.42578125" bestFit="1" customWidth="1"/>
    <col min="532" max="532" width="13.7109375" bestFit="1" customWidth="1"/>
    <col min="533" max="533" width="9.42578125" bestFit="1" customWidth="1"/>
    <col min="534" max="534" width="13.7109375" bestFit="1" customWidth="1"/>
    <col min="535" max="535" width="9.42578125" bestFit="1" customWidth="1"/>
    <col min="536" max="536" width="13.7109375" bestFit="1" customWidth="1"/>
    <col min="537" max="537" width="9.42578125" bestFit="1" customWidth="1"/>
    <col min="538" max="538" width="13.7109375" bestFit="1" customWidth="1"/>
    <col min="539" max="539" width="9.42578125" bestFit="1" customWidth="1"/>
    <col min="540" max="540" width="13.7109375" bestFit="1" customWidth="1"/>
    <col min="541" max="541" width="9.42578125" bestFit="1" customWidth="1"/>
    <col min="542" max="542" width="13.7109375" bestFit="1" customWidth="1"/>
    <col min="543" max="543" width="9.42578125" bestFit="1" customWidth="1"/>
    <col min="544" max="544" width="13.7109375" bestFit="1" customWidth="1"/>
    <col min="545" max="545" width="9.42578125" bestFit="1" customWidth="1"/>
    <col min="546" max="546" width="13.7109375" bestFit="1" customWidth="1"/>
    <col min="547" max="547" width="9.42578125" bestFit="1" customWidth="1"/>
    <col min="548" max="548" width="13.7109375" bestFit="1" customWidth="1"/>
    <col min="549" max="549" width="9.42578125" bestFit="1" customWidth="1"/>
    <col min="550" max="550" width="13.7109375" bestFit="1" customWidth="1"/>
    <col min="551" max="551" width="9.42578125" bestFit="1" customWidth="1"/>
    <col min="552" max="552" width="13.7109375" bestFit="1" customWidth="1"/>
    <col min="553" max="553" width="9.42578125" bestFit="1" customWidth="1"/>
    <col min="554" max="554" width="13.7109375" bestFit="1" customWidth="1"/>
    <col min="555" max="555" width="9.42578125" bestFit="1" customWidth="1"/>
    <col min="556" max="556" width="13.7109375" bestFit="1" customWidth="1"/>
    <col min="557" max="557" width="9.42578125" bestFit="1" customWidth="1"/>
    <col min="558" max="558" width="13.7109375" bestFit="1" customWidth="1"/>
    <col min="559" max="559" width="9.42578125" bestFit="1" customWidth="1"/>
    <col min="560" max="560" width="13.7109375" bestFit="1" customWidth="1"/>
    <col min="561" max="561" width="9.42578125" bestFit="1" customWidth="1"/>
    <col min="562" max="562" width="13.7109375" bestFit="1" customWidth="1"/>
    <col min="563" max="563" width="9.42578125" bestFit="1" customWidth="1"/>
    <col min="564" max="564" width="13.7109375" bestFit="1" customWidth="1"/>
    <col min="565" max="565" width="9.42578125" bestFit="1" customWidth="1"/>
    <col min="566" max="566" width="13.7109375" bestFit="1" customWidth="1"/>
    <col min="567" max="567" width="9.42578125" bestFit="1" customWidth="1"/>
    <col min="568" max="568" width="13.7109375" bestFit="1" customWidth="1"/>
    <col min="569" max="569" width="9.42578125" bestFit="1" customWidth="1"/>
    <col min="570" max="570" width="13.7109375" bestFit="1" customWidth="1"/>
    <col min="571" max="571" width="9.42578125" bestFit="1" customWidth="1"/>
    <col min="572" max="572" width="13.7109375" bestFit="1" customWidth="1"/>
    <col min="573" max="573" width="9.42578125" bestFit="1" customWidth="1"/>
    <col min="574" max="574" width="13.7109375" bestFit="1" customWidth="1"/>
    <col min="575" max="575" width="9.42578125" bestFit="1" customWidth="1"/>
    <col min="576" max="576" width="13.7109375" bestFit="1" customWidth="1"/>
    <col min="577" max="577" width="9.42578125" bestFit="1" customWidth="1"/>
    <col min="578" max="578" width="13.7109375" bestFit="1" customWidth="1"/>
    <col min="579" max="579" width="9.42578125" bestFit="1" customWidth="1"/>
    <col min="580" max="580" width="13.7109375" bestFit="1" customWidth="1"/>
    <col min="581" max="581" width="9.42578125" bestFit="1" customWidth="1"/>
    <col min="582" max="582" width="13.7109375" bestFit="1" customWidth="1"/>
    <col min="583" max="583" width="9.42578125" bestFit="1" customWidth="1"/>
    <col min="584" max="584" width="13.7109375" bestFit="1" customWidth="1"/>
    <col min="585" max="585" width="9.42578125" bestFit="1" customWidth="1"/>
    <col min="586" max="586" width="13.7109375" bestFit="1" customWidth="1"/>
    <col min="587" max="587" width="9.42578125" bestFit="1" customWidth="1"/>
    <col min="588" max="588" width="13.7109375" bestFit="1" customWidth="1"/>
    <col min="589" max="589" width="9.42578125" bestFit="1" customWidth="1"/>
    <col min="590" max="590" width="13.7109375" bestFit="1" customWidth="1"/>
    <col min="591" max="591" width="9.42578125" bestFit="1" customWidth="1"/>
    <col min="592" max="592" width="13.7109375" bestFit="1" customWidth="1"/>
    <col min="593" max="593" width="9.42578125" bestFit="1" customWidth="1"/>
    <col min="594" max="594" width="13.7109375" bestFit="1" customWidth="1"/>
    <col min="595" max="595" width="9.42578125" bestFit="1" customWidth="1"/>
    <col min="596" max="596" width="13.7109375" bestFit="1" customWidth="1"/>
    <col min="597" max="597" width="9.42578125" bestFit="1" customWidth="1"/>
    <col min="598" max="598" width="13.7109375" bestFit="1" customWidth="1"/>
    <col min="599" max="599" width="9.42578125" bestFit="1" customWidth="1"/>
    <col min="600" max="600" width="13.7109375" bestFit="1" customWidth="1"/>
    <col min="601" max="601" width="9.42578125" bestFit="1" customWidth="1"/>
    <col min="602" max="602" width="13.7109375" bestFit="1" customWidth="1"/>
    <col min="603" max="603" width="9.42578125" bestFit="1" customWidth="1"/>
    <col min="604" max="604" width="13.7109375" bestFit="1" customWidth="1"/>
    <col min="605" max="605" width="9.42578125" bestFit="1" customWidth="1"/>
    <col min="606" max="606" width="13.7109375" bestFit="1" customWidth="1"/>
    <col min="607" max="607" width="9.42578125" bestFit="1" customWidth="1"/>
    <col min="608" max="608" width="13.7109375" bestFit="1" customWidth="1"/>
    <col min="609" max="609" width="9.42578125" bestFit="1" customWidth="1"/>
    <col min="610" max="610" width="13.7109375" bestFit="1" customWidth="1"/>
    <col min="611" max="611" width="9.42578125" bestFit="1" customWidth="1"/>
    <col min="612" max="612" width="13.7109375" bestFit="1" customWidth="1"/>
    <col min="613" max="613" width="9.42578125" bestFit="1" customWidth="1"/>
    <col min="614" max="614" width="13.7109375" bestFit="1" customWidth="1"/>
    <col min="615" max="615" width="9.42578125" bestFit="1" customWidth="1"/>
    <col min="616" max="616" width="13.7109375" bestFit="1" customWidth="1"/>
    <col min="617" max="617" width="9.42578125" bestFit="1" customWidth="1"/>
    <col min="618" max="618" width="13.7109375" bestFit="1" customWidth="1"/>
    <col min="619" max="619" width="9.42578125" bestFit="1" customWidth="1"/>
    <col min="620" max="620" width="13.7109375" bestFit="1" customWidth="1"/>
    <col min="621" max="621" width="9.42578125" bestFit="1" customWidth="1"/>
    <col min="622" max="622" width="13.7109375" bestFit="1" customWidth="1"/>
    <col min="623" max="623" width="9.42578125" bestFit="1" customWidth="1"/>
    <col min="624" max="624" width="13.7109375" bestFit="1" customWidth="1"/>
    <col min="625" max="625" width="9.42578125" bestFit="1" customWidth="1"/>
    <col min="626" max="626" width="13.7109375" bestFit="1" customWidth="1"/>
    <col min="627" max="627" width="9.42578125" bestFit="1" customWidth="1"/>
    <col min="628" max="628" width="13.7109375" bestFit="1" customWidth="1"/>
    <col min="629" max="629" width="9.42578125" bestFit="1" customWidth="1"/>
    <col min="630" max="630" width="13.7109375" bestFit="1" customWidth="1"/>
    <col min="631" max="631" width="9.42578125" bestFit="1" customWidth="1"/>
    <col min="632" max="632" width="13.7109375" bestFit="1" customWidth="1"/>
    <col min="633" max="633" width="9.42578125" bestFit="1" customWidth="1"/>
    <col min="634" max="634" width="13.7109375" bestFit="1" customWidth="1"/>
    <col min="635" max="635" width="9.42578125" bestFit="1" customWidth="1"/>
    <col min="636" max="636" width="13.7109375" bestFit="1" customWidth="1"/>
    <col min="637" max="637" width="9.42578125" bestFit="1" customWidth="1"/>
    <col min="638" max="638" width="13.7109375" bestFit="1" customWidth="1"/>
    <col min="639" max="639" width="9.42578125" bestFit="1" customWidth="1"/>
    <col min="640" max="640" width="13.7109375" bestFit="1" customWidth="1"/>
    <col min="641" max="641" width="9.42578125" bestFit="1" customWidth="1"/>
    <col min="642" max="642" width="13.7109375" bestFit="1" customWidth="1"/>
    <col min="643" max="643" width="9.42578125" bestFit="1" customWidth="1"/>
    <col min="644" max="644" width="13.7109375" bestFit="1" customWidth="1"/>
    <col min="645" max="645" width="9.42578125" bestFit="1" customWidth="1"/>
    <col min="646" max="646" width="13.7109375" bestFit="1" customWidth="1"/>
    <col min="647" max="647" width="9.42578125" bestFit="1" customWidth="1"/>
    <col min="648" max="648" width="13.7109375" bestFit="1" customWidth="1"/>
    <col min="649" max="649" width="9.42578125" bestFit="1" customWidth="1"/>
    <col min="650" max="650" width="13.7109375" bestFit="1" customWidth="1"/>
    <col min="651" max="651" width="9.42578125" bestFit="1" customWidth="1"/>
    <col min="652" max="652" width="13.7109375" bestFit="1" customWidth="1"/>
    <col min="653" max="653" width="9.42578125" bestFit="1" customWidth="1"/>
    <col min="654" max="654" width="13.7109375" bestFit="1" customWidth="1"/>
    <col min="655" max="655" width="9.42578125" bestFit="1" customWidth="1"/>
    <col min="656" max="656" width="13.7109375" bestFit="1" customWidth="1"/>
    <col min="657" max="657" width="9.42578125" bestFit="1" customWidth="1"/>
    <col min="658" max="658" width="13.7109375" bestFit="1" customWidth="1"/>
    <col min="659" max="659" width="9.42578125" bestFit="1" customWidth="1"/>
    <col min="660" max="660" width="13.7109375" bestFit="1" customWidth="1"/>
    <col min="661" max="661" width="9.42578125" bestFit="1" customWidth="1"/>
    <col min="662" max="662" width="13.7109375" bestFit="1" customWidth="1"/>
    <col min="663" max="663" width="9.42578125" bestFit="1" customWidth="1"/>
    <col min="664" max="664" width="13.7109375" bestFit="1" customWidth="1"/>
    <col min="665" max="665" width="9.42578125" bestFit="1" customWidth="1"/>
    <col min="666" max="666" width="13.7109375" bestFit="1" customWidth="1"/>
    <col min="667" max="667" width="9.42578125" bestFit="1" customWidth="1"/>
    <col min="668" max="668" width="13.7109375" bestFit="1" customWidth="1"/>
    <col min="669" max="669" width="9.42578125" bestFit="1" customWidth="1"/>
    <col min="670" max="670" width="13.7109375" bestFit="1" customWidth="1"/>
    <col min="671" max="671" width="9.42578125" bestFit="1" customWidth="1"/>
    <col min="672" max="672" width="13.7109375" bestFit="1" customWidth="1"/>
    <col min="673" max="673" width="9.42578125" bestFit="1" customWidth="1"/>
    <col min="674" max="674" width="13.7109375" bestFit="1" customWidth="1"/>
    <col min="675" max="675" width="9.42578125" bestFit="1" customWidth="1"/>
    <col min="676" max="676" width="13.7109375" bestFit="1" customWidth="1"/>
    <col min="677" max="677" width="9.42578125" bestFit="1" customWidth="1"/>
    <col min="678" max="678" width="13.7109375" bestFit="1" customWidth="1"/>
    <col min="679" max="679" width="9.42578125" bestFit="1" customWidth="1"/>
    <col min="680" max="680" width="13.7109375" bestFit="1" customWidth="1"/>
    <col min="681" max="681" width="9.42578125" bestFit="1" customWidth="1"/>
    <col min="682" max="682" width="13.7109375" bestFit="1" customWidth="1"/>
    <col min="683" max="683" width="9.42578125" bestFit="1" customWidth="1"/>
    <col min="684" max="684" width="13.7109375" bestFit="1" customWidth="1"/>
    <col min="685" max="685" width="9.42578125" bestFit="1" customWidth="1"/>
    <col min="686" max="686" width="13.7109375" bestFit="1" customWidth="1"/>
    <col min="687" max="687" width="9.42578125" bestFit="1" customWidth="1"/>
    <col min="688" max="688" width="13.7109375" bestFit="1" customWidth="1"/>
    <col min="689" max="689" width="9.42578125" bestFit="1" customWidth="1"/>
    <col min="690" max="690" width="13.7109375" bestFit="1" customWidth="1"/>
    <col min="691" max="691" width="9.42578125" bestFit="1" customWidth="1"/>
    <col min="692" max="692" width="13.7109375" bestFit="1" customWidth="1"/>
    <col min="693" max="693" width="9.42578125" bestFit="1" customWidth="1"/>
    <col min="694" max="694" width="13.7109375" bestFit="1" customWidth="1"/>
    <col min="695" max="695" width="9.42578125" bestFit="1" customWidth="1"/>
    <col min="696" max="696" width="13.7109375" bestFit="1" customWidth="1"/>
    <col min="697" max="697" width="9.42578125" bestFit="1" customWidth="1"/>
    <col min="698" max="698" width="13.7109375" bestFit="1" customWidth="1"/>
    <col min="699" max="699" width="9.42578125" bestFit="1" customWidth="1"/>
    <col min="700" max="700" width="13.7109375" bestFit="1" customWidth="1"/>
    <col min="701" max="701" width="9.42578125" bestFit="1" customWidth="1"/>
    <col min="702" max="702" width="13.7109375" bestFit="1" customWidth="1"/>
    <col min="703" max="703" width="9.42578125" bestFit="1" customWidth="1"/>
    <col min="704" max="704" width="13.7109375" bestFit="1" customWidth="1"/>
    <col min="705" max="705" width="9.42578125" bestFit="1" customWidth="1"/>
    <col min="706" max="706" width="13.7109375" bestFit="1" customWidth="1"/>
    <col min="707" max="707" width="9.42578125" bestFit="1" customWidth="1"/>
    <col min="708" max="708" width="13.7109375" bestFit="1" customWidth="1"/>
    <col min="709" max="709" width="9.42578125" bestFit="1" customWidth="1"/>
    <col min="710" max="710" width="13.7109375" bestFit="1" customWidth="1"/>
    <col min="711" max="711" width="9.42578125" bestFit="1" customWidth="1"/>
    <col min="712" max="712" width="13.7109375" bestFit="1" customWidth="1"/>
    <col min="713" max="713" width="9.42578125" bestFit="1" customWidth="1"/>
    <col min="714" max="714" width="13.7109375" bestFit="1" customWidth="1"/>
    <col min="715" max="715" width="9.42578125" bestFit="1" customWidth="1"/>
    <col min="716" max="716" width="13.7109375" bestFit="1" customWidth="1"/>
    <col min="717" max="717" width="9.42578125" bestFit="1" customWidth="1"/>
    <col min="718" max="718" width="13.7109375" bestFit="1" customWidth="1"/>
    <col min="719" max="719" width="9.42578125" bestFit="1" customWidth="1"/>
    <col min="720" max="720" width="13.7109375" bestFit="1" customWidth="1"/>
    <col min="721" max="721" width="9.42578125" bestFit="1" customWidth="1"/>
    <col min="722" max="722" width="13.7109375" bestFit="1" customWidth="1"/>
    <col min="723" max="723" width="9.42578125" bestFit="1" customWidth="1"/>
    <col min="724" max="724" width="13.7109375" bestFit="1" customWidth="1"/>
    <col min="725" max="725" width="9.42578125" bestFit="1" customWidth="1"/>
    <col min="726" max="726" width="13.7109375" bestFit="1" customWidth="1"/>
    <col min="727" max="727" width="9.42578125" bestFit="1" customWidth="1"/>
    <col min="728" max="728" width="13.7109375" bestFit="1" customWidth="1"/>
    <col min="729" max="729" width="9.42578125" bestFit="1" customWidth="1"/>
    <col min="730" max="730" width="13.7109375" bestFit="1" customWidth="1"/>
    <col min="731" max="731" width="9.42578125" bestFit="1" customWidth="1"/>
    <col min="732" max="732" width="13.7109375" bestFit="1" customWidth="1"/>
    <col min="733" max="733" width="9.42578125" bestFit="1" customWidth="1"/>
    <col min="734" max="734" width="13.7109375" bestFit="1" customWidth="1"/>
    <col min="735" max="735" width="9.42578125" bestFit="1" customWidth="1"/>
    <col min="736" max="736" width="18.7109375" bestFit="1" customWidth="1"/>
    <col min="737" max="737" width="12.28515625" bestFit="1" customWidth="1"/>
  </cols>
  <sheetData>
    <row r="2" spans="1:22" x14ac:dyDescent="0.25">
      <c r="A2" s="22" t="s">
        <v>34</v>
      </c>
      <c r="B2" s="22"/>
      <c r="C2" s="22"/>
      <c r="D2" s="22"/>
      <c r="E2" s="22"/>
      <c r="G2" s="22" t="s">
        <v>33</v>
      </c>
      <c r="H2" s="22"/>
      <c r="I2" s="22"/>
      <c r="K2" s="22" t="s">
        <v>35</v>
      </c>
      <c r="L2" s="22"/>
      <c r="N2" s="22" t="s">
        <v>36</v>
      </c>
      <c r="O2" s="22"/>
      <c r="P2" s="22"/>
      <c r="R2" s="22" t="s">
        <v>37</v>
      </c>
      <c r="S2" s="22"/>
      <c r="U2" s="22" t="s">
        <v>39</v>
      </c>
      <c r="V2" s="22"/>
    </row>
    <row r="3" spans="1:22" x14ac:dyDescent="0.25">
      <c r="A3" t="s">
        <v>31</v>
      </c>
      <c r="B3" t="s">
        <v>23</v>
      </c>
      <c r="C3" t="s">
        <v>32</v>
      </c>
      <c r="D3" t="s">
        <v>29</v>
      </c>
      <c r="E3" t="s">
        <v>52</v>
      </c>
      <c r="G3" s="2" t="s">
        <v>26</v>
      </c>
      <c r="H3" t="s">
        <v>23</v>
      </c>
      <c r="I3" t="s">
        <v>25</v>
      </c>
      <c r="K3" s="2" t="s">
        <v>26</v>
      </c>
      <c r="L3" t="s">
        <v>66</v>
      </c>
      <c r="N3" s="2" t="s">
        <v>26</v>
      </c>
      <c r="O3" t="s">
        <v>25</v>
      </c>
      <c r="P3" t="s">
        <v>29</v>
      </c>
      <c r="R3" s="2" t="s">
        <v>30</v>
      </c>
      <c r="S3" t="s">
        <v>27</v>
      </c>
      <c r="U3" s="2" t="s">
        <v>28</v>
      </c>
      <c r="V3" t="s">
        <v>38</v>
      </c>
    </row>
    <row r="4" spans="1:22" x14ac:dyDescent="0.25">
      <c r="A4" s="4">
        <v>275371</v>
      </c>
      <c r="B4" s="4">
        <v>329400</v>
      </c>
      <c r="C4" s="5">
        <v>9533648</v>
      </c>
      <c r="D4" s="6">
        <v>34.621103892566758</v>
      </c>
      <c r="E4" s="11">
        <v>0.83597753491196114</v>
      </c>
      <c r="G4" s="3" t="s">
        <v>20</v>
      </c>
      <c r="H4" s="10">
        <v>27900</v>
      </c>
      <c r="I4" s="10">
        <v>23415</v>
      </c>
      <c r="K4" s="3" t="s">
        <v>12</v>
      </c>
      <c r="L4" s="5">
        <v>721064</v>
      </c>
      <c r="N4" s="3" t="s">
        <v>12</v>
      </c>
      <c r="O4" s="10">
        <v>21966</v>
      </c>
      <c r="P4" s="6">
        <v>32.826368023308753</v>
      </c>
      <c r="R4" s="3" t="s">
        <v>3</v>
      </c>
      <c r="S4" s="11">
        <v>0.20872335542491186</v>
      </c>
      <c r="U4" s="3" t="s">
        <v>7</v>
      </c>
      <c r="V4" s="1">
        <v>122.8</v>
      </c>
    </row>
    <row r="5" spans="1:22" x14ac:dyDescent="0.25">
      <c r="G5" s="3" t="s">
        <v>22</v>
      </c>
      <c r="H5" s="10">
        <v>27900</v>
      </c>
      <c r="I5" s="10">
        <v>23399</v>
      </c>
      <c r="K5" s="3" t="s">
        <v>18</v>
      </c>
      <c r="L5" s="5">
        <v>751071</v>
      </c>
      <c r="N5" s="3" t="s">
        <v>19</v>
      </c>
      <c r="O5" s="10">
        <v>22386</v>
      </c>
      <c r="P5" s="6">
        <v>34.960064325917983</v>
      </c>
      <c r="R5" s="3" t="s">
        <v>4</v>
      </c>
      <c r="S5" s="11">
        <v>0.2077395767076779</v>
      </c>
      <c r="U5" s="3" t="s">
        <v>10</v>
      </c>
      <c r="V5" s="1">
        <v>105</v>
      </c>
    </row>
    <row r="6" spans="1:22" x14ac:dyDescent="0.25">
      <c r="G6" s="3" t="s">
        <v>13</v>
      </c>
      <c r="H6" s="10">
        <v>27900</v>
      </c>
      <c r="I6" s="10">
        <v>23341</v>
      </c>
      <c r="K6" s="3" t="s">
        <v>16</v>
      </c>
      <c r="L6" s="5">
        <v>758640</v>
      </c>
      <c r="N6" s="3" t="s">
        <v>14</v>
      </c>
      <c r="O6" s="10">
        <v>22455</v>
      </c>
      <c r="P6" s="6">
        <v>35.036116677800045</v>
      </c>
      <c r="R6" s="3" t="s">
        <v>1</v>
      </c>
      <c r="S6" s="11">
        <v>0.20321601972298536</v>
      </c>
      <c r="U6" s="3" t="s">
        <v>5</v>
      </c>
      <c r="V6" s="1">
        <v>100.5</v>
      </c>
    </row>
    <row r="7" spans="1:22" x14ac:dyDescent="0.25">
      <c r="G7" s="3" t="s">
        <v>11</v>
      </c>
      <c r="H7" s="10">
        <v>27900</v>
      </c>
      <c r="I7" s="10">
        <v>23320</v>
      </c>
      <c r="K7" s="3" t="s">
        <v>21</v>
      </c>
      <c r="L7" s="5">
        <v>772409</v>
      </c>
      <c r="N7" s="3" t="s">
        <v>16</v>
      </c>
      <c r="O7" s="10">
        <v>22614</v>
      </c>
      <c r="P7" s="6">
        <v>33.547360042451579</v>
      </c>
      <c r="R7" s="3" t="s">
        <v>0</v>
      </c>
      <c r="S7" s="11">
        <v>0.1976470077351293</v>
      </c>
      <c r="U7" s="3" t="s">
        <v>8</v>
      </c>
      <c r="V7" s="1">
        <v>117.8</v>
      </c>
    </row>
    <row r="8" spans="1:22" x14ac:dyDescent="0.25">
      <c r="G8" s="3" t="s">
        <v>18</v>
      </c>
      <c r="H8" s="10">
        <v>27900</v>
      </c>
      <c r="I8" s="10">
        <v>23293</v>
      </c>
      <c r="K8" s="3" t="s">
        <v>19</v>
      </c>
      <c r="L8" s="5">
        <v>782616</v>
      </c>
      <c r="N8" s="3" t="s">
        <v>21</v>
      </c>
      <c r="O8" s="10">
        <v>22649</v>
      </c>
      <c r="P8" s="6">
        <v>34.103448275862071</v>
      </c>
      <c r="R8" s="3" t="s">
        <v>2</v>
      </c>
      <c r="S8" s="11">
        <v>0.18267404040929558</v>
      </c>
      <c r="U8" s="3" t="s">
        <v>9</v>
      </c>
      <c r="V8" s="1">
        <v>106.5</v>
      </c>
    </row>
    <row r="9" spans="1:22" x14ac:dyDescent="0.25">
      <c r="G9" s="3" t="s">
        <v>17</v>
      </c>
      <c r="H9" s="10">
        <v>27900</v>
      </c>
      <c r="I9" s="10">
        <v>23283</v>
      </c>
      <c r="K9" s="3" t="s">
        <v>14</v>
      </c>
      <c r="L9" s="5">
        <v>786736</v>
      </c>
      <c r="N9" s="3" t="s">
        <v>15</v>
      </c>
      <c r="O9" s="10">
        <v>23250</v>
      </c>
      <c r="P9" s="6">
        <v>37.046064516129029</v>
      </c>
      <c r="R9" s="3" t="s">
        <v>24</v>
      </c>
      <c r="S9" s="11">
        <v>1</v>
      </c>
      <c r="U9" s="3" t="s">
        <v>6</v>
      </c>
      <c r="V9" s="1">
        <v>127.4</v>
      </c>
    </row>
    <row r="10" spans="1:22" x14ac:dyDescent="0.25">
      <c r="G10" s="3" t="s">
        <v>15</v>
      </c>
      <c r="H10" s="10">
        <v>27900</v>
      </c>
      <c r="I10" s="10">
        <v>23250</v>
      </c>
      <c r="K10" s="3" t="s">
        <v>22</v>
      </c>
      <c r="L10" s="5">
        <v>798204</v>
      </c>
      <c r="N10" s="3" t="s">
        <v>17</v>
      </c>
      <c r="O10" s="10">
        <v>23283</v>
      </c>
      <c r="P10" s="6">
        <v>36.322080487909631</v>
      </c>
      <c r="U10" s="3" t="s">
        <v>24</v>
      </c>
      <c r="V10" s="1">
        <v>680</v>
      </c>
    </row>
    <row r="11" spans="1:22" x14ac:dyDescent="0.25">
      <c r="G11" s="3" t="s">
        <v>21</v>
      </c>
      <c r="H11" s="10">
        <v>27000</v>
      </c>
      <c r="I11" s="10">
        <v>22649</v>
      </c>
      <c r="K11" s="3" t="s">
        <v>13</v>
      </c>
      <c r="L11" s="5">
        <v>799647</v>
      </c>
      <c r="N11" s="3" t="s">
        <v>18</v>
      </c>
      <c r="O11" s="10">
        <v>23293</v>
      </c>
      <c r="P11" s="6">
        <v>32.244494054007639</v>
      </c>
    </row>
    <row r="12" spans="1:22" x14ac:dyDescent="0.25">
      <c r="G12" s="3" t="s">
        <v>16</v>
      </c>
      <c r="H12" s="10">
        <v>27000</v>
      </c>
      <c r="I12" s="10">
        <v>22614</v>
      </c>
      <c r="K12" s="3" t="s">
        <v>20</v>
      </c>
      <c r="L12" s="5">
        <v>812088</v>
      </c>
      <c r="N12" s="3" t="s">
        <v>11</v>
      </c>
      <c r="O12" s="10">
        <v>23320</v>
      </c>
      <c r="P12" s="6">
        <v>36.199185248713547</v>
      </c>
    </row>
    <row r="13" spans="1:22" x14ac:dyDescent="0.25">
      <c r="G13" s="3" t="s">
        <v>14</v>
      </c>
      <c r="H13" s="10">
        <v>27000</v>
      </c>
      <c r="I13" s="10">
        <v>22455</v>
      </c>
      <c r="K13" s="3" t="s">
        <v>11</v>
      </c>
      <c r="L13" s="5">
        <v>844165</v>
      </c>
      <c r="N13" s="3" t="s">
        <v>13</v>
      </c>
      <c r="O13" s="10">
        <v>23341</v>
      </c>
      <c r="P13" s="6">
        <v>34.259329077588795</v>
      </c>
    </row>
    <row r="14" spans="1:22" x14ac:dyDescent="0.25">
      <c r="G14" s="3" t="s">
        <v>19</v>
      </c>
      <c r="H14" s="10">
        <v>27000</v>
      </c>
      <c r="I14" s="10">
        <v>22386</v>
      </c>
      <c r="K14" s="3" t="s">
        <v>17</v>
      </c>
      <c r="L14" s="5">
        <v>845687</v>
      </c>
      <c r="N14" s="3" t="s">
        <v>22</v>
      </c>
      <c r="O14" s="10">
        <v>23399</v>
      </c>
      <c r="P14" s="6">
        <v>34.112739860677806</v>
      </c>
    </row>
    <row r="15" spans="1:22" x14ac:dyDescent="0.25">
      <c r="G15" s="3" t="s">
        <v>12</v>
      </c>
      <c r="H15" s="10">
        <v>26100</v>
      </c>
      <c r="I15" s="10">
        <v>21966</v>
      </c>
      <c r="K15" s="3" t="s">
        <v>15</v>
      </c>
      <c r="L15" s="5">
        <v>861321</v>
      </c>
      <c r="N15" s="3" t="s">
        <v>20</v>
      </c>
      <c r="O15" s="10">
        <v>23415</v>
      </c>
      <c r="P15" s="6">
        <v>34.682383087764251</v>
      </c>
    </row>
    <row r="16" spans="1:22" x14ac:dyDescent="0.25">
      <c r="G16" s="3" t="s">
        <v>24</v>
      </c>
      <c r="H16" s="10">
        <v>329400</v>
      </c>
      <c r="I16" s="10">
        <v>275371</v>
      </c>
      <c r="K16" s="3" t="s">
        <v>24</v>
      </c>
      <c r="L16" s="5">
        <v>9533648</v>
      </c>
      <c r="N16" s="3" t="s">
        <v>24</v>
      </c>
      <c r="O16" s="10">
        <v>275371</v>
      </c>
      <c r="P16" s="6">
        <v>34.621103892566758</v>
      </c>
    </row>
    <row r="18" spans="8:16" x14ac:dyDescent="0.25">
      <c r="O18" s="10"/>
      <c r="P18" s="6"/>
    </row>
    <row r="19" spans="8:16" x14ac:dyDescent="0.25">
      <c r="O19" s="10"/>
      <c r="P19" s="6"/>
    </row>
    <row r="20" spans="8:16" x14ac:dyDescent="0.25">
      <c r="O20" s="10"/>
      <c r="P20" s="6"/>
    </row>
    <row r="21" spans="8:16" x14ac:dyDescent="0.25">
      <c r="O21" s="10"/>
      <c r="P21" s="6"/>
    </row>
    <row r="22" spans="8:16" x14ac:dyDescent="0.25">
      <c r="O22" s="10"/>
      <c r="P22" s="6"/>
    </row>
    <row r="23" spans="8:16" x14ac:dyDescent="0.25">
      <c r="O23" s="10"/>
      <c r="P23" s="6"/>
    </row>
    <row r="24" spans="8:16" x14ac:dyDescent="0.25">
      <c r="O24" s="10"/>
      <c r="P24" s="6"/>
    </row>
    <row r="25" spans="8:16" x14ac:dyDescent="0.25">
      <c r="O25" s="10"/>
      <c r="P25" s="6"/>
    </row>
    <row r="26" spans="8:16" x14ac:dyDescent="0.25">
      <c r="H26" s="9"/>
      <c r="I26" s="9"/>
      <c r="O26" s="10"/>
      <c r="P26" s="6"/>
    </row>
    <row r="27" spans="8:16" x14ac:dyDescent="0.25">
      <c r="H27" s="8"/>
      <c r="I27" s="8"/>
      <c r="O27" s="10"/>
      <c r="P27" s="6"/>
    </row>
    <row r="28" spans="8:16" x14ac:dyDescent="0.25">
      <c r="I28" s="7"/>
      <c r="O28" s="10"/>
      <c r="P28" s="6"/>
    </row>
    <row r="29" spans="8:16" x14ac:dyDescent="0.25">
      <c r="O29" s="10"/>
      <c r="P29" s="6"/>
    </row>
  </sheetData>
  <mergeCells count="6">
    <mergeCell ref="A2:E2"/>
    <mergeCell ref="U2:V2"/>
    <mergeCell ref="G2:I2"/>
    <mergeCell ref="K2:L2"/>
    <mergeCell ref="N2:P2"/>
    <mergeCell ref="R2: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B499-B30B-43F0-946C-987F0ED9EF7D}">
  <dimension ref="A1:E6"/>
  <sheetViews>
    <sheetView workbookViewId="0">
      <selection activeCell="G4" sqref="G4"/>
    </sheetView>
  </sheetViews>
  <sheetFormatPr defaultRowHeight="15" x14ac:dyDescent="0.25"/>
  <cols>
    <col min="2" max="2" width="46.5703125" bestFit="1" customWidth="1"/>
    <col min="3" max="3" width="38.42578125" customWidth="1"/>
    <col min="4" max="4" width="38.5703125" customWidth="1"/>
    <col min="5" max="5" width="68.42578125" customWidth="1"/>
    <col min="6" max="6" width="14.5703125" bestFit="1" customWidth="1"/>
  </cols>
  <sheetData>
    <row r="1" spans="1:5" s="13" customFormat="1" ht="28.5" x14ac:dyDescent="0.25">
      <c r="A1" s="19" t="s">
        <v>44</v>
      </c>
      <c r="B1" s="18" t="s">
        <v>40</v>
      </c>
      <c r="C1" s="18" t="s">
        <v>41</v>
      </c>
      <c r="D1" s="18" t="s">
        <v>42</v>
      </c>
      <c r="E1" s="18" t="s">
        <v>43</v>
      </c>
    </row>
    <row r="2" spans="1:5" ht="86.25" customHeight="1" x14ac:dyDescent="0.25">
      <c r="A2" s="14">
        <v>1</v>
      </c>
      <c r="B2" s="12" t="s">
        <v>45</v>
      </c>
      <c r="C2" s="15" t="s">
        <v>59</v>
      </c>
      <c r="D2" s="15" t="s">
        <v>46</v>
      </c>
      <c r="E2" s="16" t="s">
        <v>47</v>
      </c>
    </row>
    <row r="3" spans="1:5" ht="90" customHeight="1" x14ac:dyDescent="0.25">
      <c r="A3" s="14">
        <v>2</v>
      </c>
      <c r="B3" s="12" t="s">
        <v>48</v>
      </c>
      <c r="C3" s="15" t="s">
        <v>49</v>
      </c>
      <c r="D3" s="15" t="s">
        <v>50</v>
      </c>
      <c r="E3" s="16" t="s">
        <v>51</v>
      </c>
    </row>
    <row r="4" spans="1:5" ht="92.25" customHeight="1" x14ac:dyDescent="0.25">
      <c r="A4" s="14">
        <v>3</v>
      </c>
      <c r="B4" s="17" t="s">
        <v>53</v>
      </c>
      <c r="C4" s="15" t="s">
        <v>54</v>
      </c>
      <c r="D4" s="15" t="s">
        <v>55</v>
      </c>
      <c r="E4" s="16" t="s">
        <v>56</v>
      </c>
    </row>
    <row r="5" spans="1:5" ht="92.25" customHeight="1" x14ac:dyDescent="0.25">
      <c r="A5" s="14">
        <v>4</v>
      </c>
      <c r="B5" s="17" t="s">
        <v>57</v>
      </c>
      <c r="C5" s="15" t="s">
        <v>58</v>
      </c>
      <c r="D5" s="15" t="s">
        <v>60</v>
      </c>
      <c r="E5" s="16" t="s">
        <v>61</v>
      </c>
    </row>
    <row r="6" spans="1:5" ht="99" customHeight="1" x14ac:dyDescent="0.25">
      <c r="A6" s="14">
        <v>5</v>
      </c>
      <c r="B6" s="17" t="s">
        <v>62</v>
      </c>
      <c r="C6" s="15" t="s">
        <v>63</v>
      </c>
      <c r="D6" s="15" t="s">
        <v>64</v>
      </c>
      <c r="E6" s="16" t="s">
        <v>65</v>
      </c>
    </row>
  </sheetData>
  <autoFilter ref="B1:B2" xr:uid="{3620B499-B30B-43F0-946C-987F0ED9EF7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0F3A9878-196F-4DB5-AA95-9E765156EF91}">
  <ds:schemaRefs/>
</ds:datastoreItem>
</file>

<file path=customXml/itemProps2.xml><?xml version="1.0" encoding="utf-8"?>
<ds:datastoreItem xmlns:ds="http://schemas.openxmlformats.org/officeDocument/2006/customXml" ds:itemID="{6A386641-9043-408C-BC4D-4DF4D76CB50B}">
  <ds:schemaRefs/>
</ds:datastoreItem>
</file>

<file path=customXml/itemProps3.xml><?xml version="1.0" encoding="utf-8"?>
<ds:datastoreItem xmlns:ds="http://schemas.openxmlformats.org/officeDocument/2006/customXml" ds:itemID="{8126839F-47F6-4752-BF5F-55E8919F4394}">
  <ds:schemaRefs/>
</ds:datastoreItem>
</file>

<file path=customXml/itemProps4.xml><?xml version="1.0" encoding="utf-8"?>
<ds:datastoreItem xmlns:ds="http://schemas.openxmlformats.org/officeDocument/2006/customXml" ds:itemID="{96B7EFBD-BE01-46B6-8130-3193ABAFAE43}">
  <ds:schemaRefs/>
</ds:datastoreItem>
</file>

<file path=customXml/itemProps5.xml><?xml version="1.0" encoding="utf-8"?>
<ds:datastoreItem xmlns:ds="http://schemas.openxmlformats.org/officeDocument/2006/customXml" ds:itemID="{5240C86C-F9E5-4102-B735-0B07220F6652}">
  <ds:schemaRefs/>
</ds:datastoreItem>
</file>

<file path=customXml/itemProps6.xml><?xml version="1.0" encoding="utf-8"?>
<ds:datastoreItem xmlns:ds="http://schemas.openxmlformats.org/officeDocument/2006/customXml" ds:itemID="{46214991-DF05-4C5C-B347-B1D646CBC896}">
  <ds:schemaRefs/>
</ds:datastoreItem>
</file>

<file path=customXml/itemProps7.xml><?xml version="1.0" encoding="utf-8"?>
<ds:datastoreItem xmlns:ds="http://schemas.openxmlformats.org/officeDocument/2006/customXml" ds:itemID="{9EB0E05E-2F7A-4ED9-A0B5-87EAF10F8EFA}">
  <ds:schemaRefs/>
</ds:datastoreItem>
</file>

<file path=customXml/itemProps8.xml><?xml version="1.0" encoding="utf-8"?>
<ds:datastoreItem xmlns:ds="http://schemas.openxmlformats.org/officeDocument/2006/customXml" ds:itemID="{EACCC13B-7A73-4BF1-AD09-BEA4E4AFDDDB}">
  <ds:schemaRefs/>
</ds:datastoreItem>
</file>

<file path=customXml/itemProps9.xml><?xml version="1.0" encoding="utf-8"?>
<ds:datastoreItem xmlns:ds="http://schemas.openxmlformats.org/officeDocument/2006/customXml" ds:itemID="{2B161D15-AED1-4C86-B7CC-FA6187CECBC2}">
  <ds:schemaRefs/>
</ds:datastoreItem>
</file>

<file path=customXml/itemProps10.xml><?xml version="1.0" encoding="utf-8"?>
<ds:datastoreItem xmlns:ds="http://schemas.openxmlformats.org/officeDocument/2006/customXml" ds:itemID="{D826CAC3-A4B8-41AA-B7B9-728335DD449E}">
  <ds:schemaRefs/>
</ds:datastoreItem>
</file>

<file path=customXml/itemProps11.xml><?xml version="1.0" encoding="utf-8"?>
<ds:datastoreItem xmlns:ds="http://schemas.openxmlformats.org/officeDocument/2006/customXml" ds:itemID="{BA227003-1296-4919-B32A-863B7FA027AB}">
  <ds:schemaRefs/>
</ds:datastoreItem>
</file>

<file path=customXml/itemProps12.xml><?xml version="1.0" encoding="utf-8"?>
<ds:datastoreItem xmlns:ds="http://schemas.openxmlformats.org/officeDocument/2006/customXml" ds:itemID="{F893E323-1D27-4CE3-88F9-5C0ADD0CADF6}">
  <ds:schemaRefs/>
</ds:datastoreItem>
</file>

<file path=customXml/itemProps13.xml><?xml version="1.0" encoding="utf-8"?>
<ds:datastoreItem xmlns:ds="http://schemas.openxmlformats.org/officeDocument/2006/customXml" ds:itemID="{63769035-A845-420A-9C3B-C4F2E9849A7A}">
  <ds:schemaRefs/>
</ds:datastoreItem>
</file>

<file path=customXml/itemProps14.xml><?xml version="1.0" encoding="utf-8"?>
<ds:datastoreItem xmlns:ds="http://schemas.openxmlformats.org/officeDocument/2006/customXml" ds:itemID="{956B9F57-7185-4C62-86FA-DF6FB11F9801}">
  <ds:schemaRefs/>
</ds:datastoreItem>
</file>

<file path=customXml/itemProps15.xml><?xml version="1.0" encoding="utf-8"?>
<ds:datastoreItem xmlns:ds="http://schemas.openxmlformats.org/officeDocument/2006/customXml" ds:itemID="{59F4D3F1-01EF-452D-98FA-8AD7F986F30D}">
  <ds:schemaRefs/>
</ds:datastoreItem>
</file>

<file path=customXml/itemProps16.xml><?xml version="1.0" encoding="utf-8"?>
<ds:datastoreItem xmlns:ds="http://schemas.openxmlformats.org/officeDocument/2006/customXml" ds:itemID="{8451B33F-B7F0-4C70-B4FD-B8AEA81C0ECB}">
  <ds:schemaRefs/>
</ds:datastoreItem>
</file>

<file path=customXml/itemProps17.xml><?xml version="1.0" encoding="utf-8"?>
<ds:datastoreItem xmlns:ds="http://schemas.openxmlformats.org/officeDocument/2006/customXml" ds:itemID="{B6D1DDC2-04B2-482D-B01C-B823F036C610}">
  <ds:schemaRefs/>
</ds:datastoreItem>
</file>

<file path=customXml/itemProps18.xml><?xml version="1.0" encoding="utf-8"?>
<ds:datastoreItem xmlns:ds="http://schemas.openxmlformats.org/officeDocument/2006/customXml" ds:itemID="{75472E02-A070-489B-ACAA-C920D30EDDDD}">
  <ds:schemaRefs/>
</ds:datastoreItem>
</file>

<file path=customXml/itemProps19.xml><?xml version="1.0" encoding="utf-8"?>
<ds:datastoreItem xmlns:ds="http://schemas.openxmlformats.org/officeDocument/2006/customXml" ds:itemID="{FF69D135-AFEE-460E-8D96-6E96491FF55F}">
  <ds:schemaRefs/>
</ds:datastoreItem>
</file>

<file path=customXml/itemProps20.xml><?xml version="1.0" encoding="utf-8"?>
<ds:datastoreItem xmlns:ds="http://schemas.openxmlformats.org/officeDocument/2006/customXml" ds:itemID="{A656DD13-046D-437E-81B3-A36E29151D6A}">
  <ds:schemaRefs>
    <ds:schemaRef ds:uri="http://schemas.microsoft.com/DataMashup"/>
  </ds:schemaRefs>
</ds:datastoreItem>
</file>

<file path=customXml/itemProps21.xml><?xml version="1.0" encoding="utf-8"?>
<ds:datastoreItem xmlns:ds="http://schemas.openxmlformats.org/officeDocument/2006/customXml" ds:itemID="{3ADEBD96-0745-442A-B4E8-1F48E94AF777}">
  <ds:schemaRefs/>
</ds:datastoreItem>
</file>

<file path=customXml/itemProps22.xml><?xml version="1.0" encoding="utf-8"?>
<ds:datastoreItem xmlns:ds="http://schemas.openxmlformats.org/officeDocument/2006/customXml" ds:itemID="{28AE481E-0171-4391-8C03-B91181CE2853}">
  <ds:schemaRefs/>
</ds:datastoreItem>
</file>

<file path=customXml/itemProps23.xml><?xml version="1.0" encoding="utf-8"?>
<ds:datastoreItem xmlns:ds="http://schemas.openxmlformats.org/officeDocument/2006/customXml" ds:itemID="{41EC1949-1E1D-4894-9503-A0D5584193DE}">
  <ds:schemaRefs/>
</ds:datastoreItem>
</file>

<file path=customXml/itemProps24.xml><?xml version="1.0" encoding="utf-8"?>
<ds:datastoreItem xmlns:ds="http://schemas.openxmlformats.org/officeDocument/2006/customXml" ds:itemID="{0B508D09-EC8A-44BD-B4D4-3C73A69722F3}">
  <ds:schemaRefs/>
</ds:datastoreItem>
</file>

<file path=customXml/itemProps25.xml><?xml version="1.0" encoding="utf-8"?>
<ds:datastoreItem xmlns:ds="http://schemas.openxmlformats.org/officeDocument/2006/customXml" ds:itemID="{0AD447AE-F7C8-41AB-A9A0-6EAE5222E3DF}">
  <ds:schemaRefs/>
</ds:datastoreItem>
</file>

<file path=customXml/itemProps26.xml><?xml version="1.0" encoding="utf-8"?>
<ds:datastoreItem xmlns:ds="http://schemas.openxmlformats.org/officeDocument/2006/customXml" ds:itemID="{FBE6109E-9708-4EAF-A3E5-77420F7BF438}">
  <ds:schemaRefs/>
</ds:datastoreItem>
</file>

<file path=customXml/itemProps27.xml><?xml version="1.0" encoding="utf-8"?>
<ds:datastoreItem xmlns:ds="http://schemas.openxmlformats.org/officeDocument/2006/customXml" ds:itemID="{9A2E212D-270F-48B1-931A-2501C00A6938}">
  <ds:schemaRefs/>
</ds:datastoreItem>
</file>

<file path=customXml/itemProps28.xml><?xml version="1.0" encoding="utf-8"?>
<ds:datastoreItem xmlns:ds="http://schemas.openxmlformats.org/officeDocument/2006/customXml" ds:itemID="{A9DC6147-3A4B-4D40-9471-B2F90433584F}">
  <ds:schemaRefs/>
</ds:datastoreItem>
</file>

<file path=customXml/itemProps29.xml><?xml version="1.0" encoding="utf-8"?>
<ds:datastoreItem xmlns:ds="http://schemas.openxmlformats.org/officeDocument/2006/customXml" ds:itemID="{F7B416B8-62FF-4D16-85A0-13FFA35FD9BE}">
  <ds:schemaRefs/>
</ds:datastoreItem>
</file>

<file path=customXml/itemProps30.xml><?xml version="1.0" encoding="utf-8"?>
<ds:datastoreItem xmlns:ds="http://schemas.openxmlformats.org/officeDocument/2006/customXml" ds:itemID="{5E467C1D-3FB6-4DF0-8CA3-5E327DC71681}">
  <ds:schemaRefs/>
</ds:datastoreItem>
</file>

<file path=customXml/itemProps31.xml><?xml version="1.0" encoding="utf-8"?>
<ds:datastoreItem xmlns:ds="http://schemas.openxmlformats.org/officeDocument/2006/customXml" ds:itemID="{4D355DAC-939B-4C49-B502-E61E008C10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Dashboard</vt:lpstr>
      <vt:lpstr>Analises</vt:lpstr>
      <vt:lpstr>Insights</vt:lpstr>
      <vt:lpstr>ab</vt:lpstr>
      <vt:lpstr>asdfapsokfd</vt:lpstr>
      <vt:lpstr>cost_total</vt:lpstr>
      <vt:lpstr>cuost</vt:lpstr>
      <vt:lpstr>custo_por_unidade</vt:lpstr>
      <vt:lpstr>custo_total</vt:lpstr>
      <vt:lpstr>ef_operacional</vt:lpstr>
      <vt:lpstr>op_ef</vt:lpstr>
      <vt:lpstr>producao_planejada</vt:lpstr>
      <vt:lpstr>producao_total</vt:lpstr>
      <vt:lpstr>total_cost</vt:lpstr>
      <vt:lpstr>total_producao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mattos</dc:creator>
  <cp:lastModifiedBy>mattos</cp:lastModifiedBy>
  <dcterms:created xsi:type="dcterms:W3CDTF">2025-12-30T22:14:25Z</dcterms:created>
  <dcterms:modified xsi:type="dcterms:W3CDTF">2026-01-01T21:15:03Z</dcterms:modified>
</cp:coreProperties>
</file>